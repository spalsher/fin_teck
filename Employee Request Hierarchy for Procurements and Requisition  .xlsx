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mran.jamal\Desktop\"/>
    </mc:Choice>
  </mc:AlternateContent>
  <xr:revisionPtr revIDLastSave="0" documentId="13_ncr:1_{CB3AEE1B-68C7-4565-A705-ADEAA9BC515E}" xr6:coauthVersionLast="47" xr6:coauthVersionMax="47" xr10:uidLastSave="{00000000-0000-0000-0000-000000000000}"/>
  <bookViews>
    <workbookView xWindow="-108" yWindow="-108" windowWidth="23256" windowHeight="12576" tabRatio="955" activeTab="2" xr2:uid="{497675E8-29E2-4C9B-AC99-51478A050AAE}"/>
  </bookViews>
  <sheets>
    <sheet name="Hierarchy" sheetId="1" r:id="rId1"/>
    <sheet name="SOP" sheetId="2" r:id="rId2"/>
    <sheet name="REQ_CATEGORY" sheetId="4" r:id="rId3"/>
    <sheet name="Stationary" sheetId="9" r:id="rId4"/>
    <sheet name="IT Equipments" sheetId="10" r:id="rId5"/>
    <sheet name="Generl PurchaseGrocery" sheetId="11" r:id="rId6"/>
    <sheet name="Generl Purchase Appliances" sheetId="12" r:id="rId7"/>
    <sheet name="REQ_ROLE" sheetId="5" r:id="rId8"/>
    <sheet name="REQ_WORKFLOW" sheetId="6" r:id="rId9"/>
    <sheet name="EMP_REQUISITION" sheetId="7" r:id="rId10"/>
    <sheet name="EMP_REQ_FLOW" sheetId="8" r:id="rId11"/>
    <sheet name="REQ_ACTION_LOG" sheetId="3" r:id="rId12"/>
  </sheets>
  <definedNames>
    <definedName name="_xlnm._FilterDatabase" localSheetId="10" hidden="1">EMP_REQ_FLOW!$A$1:$F$66</definedName>
    <definedName name="_xlnm._FilterDatabase" localSheetId="9" hidden="1">EMP_REQUISITION!$A$1:$J$1</definedName>
    <definedName name="_xlnm._FilterDatabase" localSheetId="11" hidden="1">REQ_ACTION_LOG!$A$1:$H$33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6" i="6" l="1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2" i="6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I3" i="7"/>
  <c r="I4" i="7"/>
  <c r="I5" i="7"/>
  <c r="I6" i="7"/>
  <c r="I7" i="7"/>
  <c r="I8" i="7"/>
  <c r="I9" i="7"/>
  <c r="I10" i="7"/>
  <c r="I12" i="7"/>
  <c r="I2" i="7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D3" i="7"/>
  <c r="D4" i="7"/>
  <c r="D5" i="7"/>
  <c r="D6" i="7"/>
  <c r="D7" i="7"/>
  <c r="D8" i="7"/>
  <c r="D9" i="7"/>
  <c r="D10" i="7"/>
  <c r="D11" i="7"/>
  <c r="D12" i="7"/>
  <c r="D2" i="7"/>
  <c r="I11" i="7" l="1"/>
</calcChain>
</file>

<file path=xl/sharedStrings.xml><?xml version="1.0" encoding="utf-8"?>
<sst xmlns="http://schemas.openxmlformats.org/spreadsheetml/2006/main" count="658" uniqueCount="311">
  <si>
    <t>Requisition</t>
  </si>
  <si>
    <t>Employee</t>
  </si>
  <si>
    <t>Stationary</t>
  </si>
  <si>
    <t>HOD</t>
  </si>
  <si>
    <t>Admin</t>
  </si>
  <si>
    <t>For Info</t>
  </si>
  <si>
    <t>Initiate</t>
  </si>
  <si>
    <t>CEO</t>
  </si>
  <si>
    <t>Event</t>
  </si>
  <si>
    <t>Specialized Projects</t>
  </si>
  <si>
    <t>IT Equipments</t>
  </si>
  <si>
    <t>Devices / Accessories</t>
  </si>
  <si>
    <t>Procurement Team</t>
  </si>
  <si>
    <t>Collect Quotations</t>
  </si>
  <si>
    <t>Starts</t>
  </si>
  <si>
    <t>Hierarchy for Procurements and Requisition</t>
  </si>
  <si>
    <t>Category</t>
  </si>
  <si>
    <t>Execution</t>
  </si>
  <si>
    <t>—</t>
  </si>
  <si>
    <t>Approve up to 50k</t>
  </si>
  <si>
    <t>Approve above 50k</t>
  </si>
  <si>
    <t>Approve</t>
  </si>
  <si>
    <t>Review Technical &amp; Financial Cost</t>
  </si>
  <si>
    <t>** Loans up to PKR 50,000 require HR &amp; CFO approval</t>
  </si>
  <si>
    <t>Standard Operating Procedure (SOP)</t>
  </si>
  <si>
    <t>Procurement &amp; Requisition Management</t>
  </si>
  <si>
    <t>1. Purpose</t>
  </si>
  <si>
    <t>This SOP defines the standardized process for initiating, reviewing, approving, and executing procurement and requisition requests to ensure transparency, control, and timely processing across the organization.</t>
  </si>
  <si>
    <t>2. Scope</t>
  </si>
  <si>
    <t>This SOP applies to all employees, departments, and management involved in requisition and procurement activities, including loans, advance salaries, events, IT equipment, devices, and general procurements.</t>
  </si>
  <si>
    <t>3. Roles &amp; Responsibilities</t>
  </si>
  <si>
    <r>
      <t>Employee:</t>
    </r>
    <r>
      <rPr>
        <sz val="11"/>
        <color theme="1"/>
        <rFont val="Aptos Narrow"/>
        <family val="2"/>
        <scheme val="minor"/>
      </rPr>
      <t xml:space="preserve"> Initiates requisition requests with complete justification.</t>
    </r>
  </si>
  <si>
    <r>
      <t>Head of Department (HOD):</t>
    </r>
    <r>
      <rPr>
        <sz val="11"/>
        <color theme="1"/>
        <rFont val="Aptos Narrow"/>
        <family val="2"/>
        <scheme val="minor"/>
      </rPr>
      <t xml:space="preserve"> Reviews and initiates requests where applicable.</t>
    </r>
  </si>
  <si>
    <r>
      <t>Admin:</t>
    </r>
    <r>
      <rPr>
        <sz val="11"/>
        <color theme="1"/>
        <rFont val="Aptos Narrow"/>
        <family val="2"/>
        <scheme val="minor"/>
      </rPr>
      <t xml:space="preserve"> Takes action on approved requisitions and coordinates documentation.</t>
    </r>
  </si>
  <si>
    <r>
      <t>HR / CFO:</t>
    </r>
    <r>
      <rPr>
        <sz val="11"/>
        <color theme="1"/>
        <rFont val="Aptos Narrow"/>
        <family val="2"/>
        <scheme val="minor"/>
      </rPr>
      <t xml:space="preserve"> Reviews and approves financial matters (as per limits).</t>
    </r>
  </si>
  <si>
    <r>
      <t>Procurement Committee:</t>
    </r>
    <r>
      <rPr>
        <sz val="11"/>
        <color theme="1"/>
        <rFont val="Aptos Narrow"/>
        <family val="2"/>
        <scheme val="minor"/>
      </rPr>
      <t xml:space="preserve"> Reviews technical and financial feasibility where required.</t>
    </r>
  </si>
  <si>
    <r>
      <t>Procurement Team:</t>
    </r>
    <r>
      <rPr>
        <sz val="11"/>
        <color theme="1"/>
        <rFont val="Aptos Narrow"/>
        <family val="2"/>
        <scheme val="minor"/>
      </rPr>
      <t xml:space="preserve"> Collects quotations and executes approved procurements.</t>
    </r>
  </si>
  <si>
    <r>
      <t>CEO:</t>
    </r>
    <r>
      <rPr>
        <sz val="11"/>
        <color theme="1"/>
        <rFont val="Aptos Narrow"/>
        <family val="2"/>
        <scheme val="minor"/>
      </rPr>
      <t xml:space="preserve"> Provides final approval where applicable.</t>
    </r>
  </si>
  <si>
    <t>4. Requisition Categories &amp; Approval Matrix</t>
  </si>
  <si>
    <t>4.1 Stationery</t>
  </si>
  <si>
    <t>Employee: Raise requisition</t>
  </si>
  <si>
    <t>HOD: For information</t>
  </si>
  <si>
    <t>Admin: For action</t>
  </si>
  <si>
    <t>4.2 Loan</t>
  </si>
  <si>
    <t>HOD: Initiate</t>
  </si>
  <si>
    <t>HR/CFO: Approval up to PKR 50,000</t>
  </si>
  <si>
    <t>CEO: Approval required for amounts above PKR 50,000</t>
  </si>
  <si>
    <t>4.3 Advance Salary</t>
  </si>
  <si>
    <t>4.4 Events</t>
  </si>
  <si>
    <t>Procurement Team: Collect quotations</t>
  </si>
  <si>
    <t>CEO: Approval</t>
  </si>
  <si>
    <t>Procurement Team: Execute</t>
  </si>
  <si>
    <t>4.5 Specialized Projects / IT Equipment / General Procurements / Devices &amp; Accessories</t>
  </si>
  <si>
    <t>Procurement Committee: Review technical &amp; financial cost</t>
  </si>
  <si>
    <t>5. Processing Timeline</t>
  </si>
  <si>
    <r>
      <t xml:space="preserve">Each stakeholder must complete their assigned role within </t>
    </r>
    <r>
      <rPr>
        <b/>
        <sz val="11"/>
        <color theme="1"/>
        <rFont val="Aptos Narrow"/>
        <family val="2"/>
        <scheme val="minor"/>
      </rPr>
      <t>24 hours</t>
    </r>
    <r>
      <rPr>
        <sz val="11"/>
        <color theme="1"/>
        <rFont val="Aptos Narrow"/>
        <family val="2"/>
        <scheme val="minor"/>
      </rPr>
      <t xml:space="preserve"> of receiving the request.</t>
    </r>
  </si>
  <si>
    <t>6. Special Notes</t>
  </si>
  <si>
    <t>Loan eligibility is based on the last paid loan and employment period.</t>
  </si>
  <si>
    <t>Loans up to PKR 50,000 require HR &amp; CFO approval.</t>
  </si>
  <si>
    <t>All approvals must be documented and archived for audit purposes.</t>
  </si>
  <si>
    <t>Management Flowchart (Process Overview)</t>
  </si>
  <si>
    <r>
      <t>Start</t>
    </r>
    <r>
      <rPr>
        <sz val="11"/>
        <color theme="1"/>
        <rFont val="Aptos Narrow"/>
        <family val="2"/>
        <scheme val="minor"/>
      </rPr>
      <t xml:space="preserve"> → Employee Raises Requisition → HOD Review / Initiation → Admin / HR-CFO Review (if applicable) → Procurement Committee Review (Technical &amp; Financial – if applicable) → Procurement Team Collects Quotations → CEO Approval → Procurement Team Executes Purchase → </t>
    </r>
    <r>
      <rPr>
        <b/>
        <sz val="11"/>
        <color theme="1"/>
        <rFont val="Aptos Narrow"/>
        <family val="2"/>
        <scheme val="minor"/>
      </rPr>
      <t>End</t>
    </r>
  </si>
  <si>
    <t>7. Compliance &amp; Audit</t>
  </si>
  <si>
    <t>All procurement and requisition activities must comply with this SOP. Any deviation requires written approval from the CEO and CFO. Records must be retained for audit and compliance purposes.</t>
  </si>
  <si>
    <r>
      <t>Approved By:</t>
    </r>
    <r>
      <rPr>
        <sz val="11"/>
        <color theme="1"/>
        <rFont val="Aptos Narrow"/>
        <family val="2"/>
        <scheme val="minor"/>
      </rPr>
      <t xml:space="preserve"> ______________________</t>
    </r>
  </si>
  <si>
    <r>
      <t>Effective Date:</t>
    </r>
    <r>
      <rPr>
        <sz val="11"/>
        <color theme="1"/>
        <rFont val="Aptos Narrow"/>
        <family val="2"/>
        <scheme val="minor"/>
      </rPr>
      <t xml:space="preserve"> ____________________</t>
    </r>
  </si>
  <si>
    <r>
      <t>Review Cycle:</t>
    </r>
    <r>
      <rPr>
        <sz val="11"/>
        <color theme="1"/>
        <rFont val="Aptos Narrow"/>
        <family val="2"/>
        <scheme val="minor"/>
      </rPr>
      <t xml:space="preserve"> Annual</t>
    </r>
  </si>
  <si>
    <t>Footnotes</t>
  </si>
  <si>
    <t>*Loan eligibility based on last paid loan and employment tenure</t>
  </si>
  <si>
    <t>Finance</t>
  </si>
  <si>
    <t>Vehicle Maintenance</t>
  </si>
  <si>
    <t>Vehicle Repair</t>
  </si>
  <si>
    <t>Collect Quotation</t>
  </si>
  <si>
    <t>*** Each role must complete its action Max 24 working hours, minimum it will take 2 to 3 hours for execution</t>
  </si>
  <si>
    <t>Other Repair &amp; Maintenance</t>
  </si>
  <si>
    <t>If Required Material  Repair &amp; Maintenance</t>
  </si>
  <si>
    <t>Quotations</t>
  </si>
  <si>
    <t>N/A</t>
  </si>
  <si>
    <t>Department</t>
  </si>
  <si>
    <t>General Procurements Grocerry &amp; Others</t>
  </si>
  <si>
    <t>General Procurements Electric Appliances</t>
  </si>
  <si>
    <t>Approval</t>
  </si>
  <si>
    <t>Final Procurement Committee</t>
  </si>
  <si>
    <t>Procurement Committee Discussion</t>
  </si>
  <si>
    <t>Loan &amp; Advance Salary</t>
  </si>
  <si>
    <t>HR / Finance</t>
  </si>
  <si>
    <t>LogID</t>
  </si>
  <si>
    <t>ReqID</t>
  </si>
  <si>
    <t>RoleID</t>
  </si>
  <si>
    <t>ActionBy</t>
  </si>
  <si>
    <t>ActionTaken</t>
  </si>
  <si>
    <t>Remarks</t>
  </si>
  <si>
    <t>ActionDate</t>
  </si>
  <si>
    <t>Initiated</t>
  </si>
  <si>
    <t>Request created</t>
  </si>
  <si>
    <t>Viewed</t>
  </si>
  <si>
    <t>HOD informed</t>
  </si>
  <si>
    <t>Processed</t>
  </si>
  <si>
    <t>Admin processed</t>
  </si>
  <si>
    <t>Executed</t>
  </si>
  <si>
    <t>Items issued</t>
  </si>
  <si>
    <t>Maintenance request</t>
  </si>
  <si>
    <t>Admin approved</t>
  </si>
  <si>
    <t>Vehicle serviced</t>
  </si>
  <si>
    <t>Engine issue</t>
  </si>
  <si>
    <t>Reviewed</t>
  </si>
  <si>
    <t>Estimated cost approved</t>
  </si>
  <si>
    <t>Admin forwarded</t>
  </si>
  <si>
    <t>Quoted</t>
  </si>
  <si>
    <t>Vendor quotations uploaded</t>
  </si>
  <si>
    <t>Final cost approved</t>
  </si>
  <si>
    <t>Loan request</t>
  </si>
  <si>
    <t>Approved</t>
  </si>
  <si>
    <t>HOD approved</t>
  </si>
  <si>
    <t>HR approved</t>
  </si>
  <si>
    <t>Medical loan</t>
  </si>
  <si>
    <t>Finance approved</t>
  </si>
  <si>
    <t>Annual event</t>
  </si>
  <si>
    <t>Event vendors contacted</t>
  </si>
  <si>
    <t>Laptop request</t>
  </si>
  <si>
    <t>Specs approved</t>
  </si>
  <si>
    <t>Quotations uploaded</t>
  </si>
  <si>
    <t>Grocery items</t>
  </si>
  <si>
    <t>Budget approved</t>
  </si>
  <si>
    <t>Scanner request</t>
  </si>
  <si>
    <t>Technical approved</t>
  </si>
  <si>
    <t>CEO approved</t>
  </si>
  <si>
    <t>CategoryID</t>
  </si>
  <si>
    <t>CategoryName</t>
  </si>
  <si>
    <t>General Procurements - Grocery &amp; Others</t>
  </si>
  <si>
    <t>General Procurements - Electric Appliances</t>
  </si>
  <si>
    <t>RoleName</t>
  </si>
  <si>
    <t>HR</t>
  </si>
  <si>
    <t>Procurement Committee</t>
  </si>
  <si>
    <t>Department Admin</t>
  </si>
  <si>
    <t>Execution Team</t>
  </si>
  <si>
    <t>WorkflowID</t>
  </si>
  <si>
    <t>SequenceNo</t>
  </si>
  <si>
    <t>ActionName</t>
  </si>
  <si>
    <t>AmountFrom</t>
  </si>
  <si>
    <t>AmountTo</t>
  </si>
  <si>
    <t>IsMandatory</t>
  </si>
  <si>
    <t>NULL</t>
  </si>
  <si>
    <t>For Information</t>
  </si>
  <si>
    <t>Execute</t>
  </si>
  <si>
    <t>If Required Material R&amp;M Review</t>
  </si>
  <si>
    <t>EmployeeID</t>
  </si>
  <si>
    <t>ReqAmount</t>
  </si>
  <si>
    <t>ReqPurpose</t>
  </si>
  <si>
    <t>Status</t>
  </si>
  <si>
    <t>CurrentSequence</t>
  </si>
  <si>
    <t>CreatedDate</t>
  </si>
  <si>
    <t>Office stationary purchase</t>
  </si>
  <si>
    <t>Routine vehicle maintenance</t>
  </si>
  <si>
    <t>Engine repair</t>
  </si>
  <si>
    <t>Pending CEO Approval</t>
  </si>
  <si>
    <t>Office AC repair</t>
  </si>
  <si>
    <t>Under Committee Review</t>
  </si>
  <si>
    <t>Personal loan</t>
  </si>
  <si>
    <t>Pending Finance Approval</t>
  </si>
  <si>
    <t>Annual staff event</t>
  </si>
  <si>
    <t>ERP customization</t>
  </si>
  <si>
    <t>Laptop purchase</t>
  </si>
  <si>
    <t>Quotation Collection</t>
  </si>
  <si>
    <t>Office groceries</t>
  </si>
  <si>
    <t>Barcode scanners</t>
  </si>
  <si>
    <t>FlowID</t>
  </si>
  <si>
    <t>IsCompleted</t>
  </si>
  <si>
    <t>Sequence Name</t>
  </si>
  <si>
    <t>Role Name</t>
  </si>
  <si>
    <t>Pencil</t>
  </si>
  <si>
    <t>Ball Point</t>
  </si>
  <si>
    <t>Eraser</t>
  </si>
  <si>
    <t>Shopner</t>
  </si>
  <si>
    <t>Transparent Squash Tape (Thin)</t>
  </si>
  <si>
    <t>Transparent Squash Tape (Thick)</t>
  </si>
  <si>
    <t>Paper Tape</t>
  </si>
  <si>
    <t>Carton Packing Tape</t>
  </si>
  <si>
    <t>Paper Rims</t>
  </si>
  <si>
    <t>Permenant Marker</t>
  </si>
  <si>
    <t>Paper Tray</t>
  </si>
  <si>
    <t>Stationery Stand</t>
  </si>
  <si>
    <t>Stapler</t>
  </si>
  <si>
    <t>Stapler Pins</t>
  </si>
  <si>
    <t>Pin Remover</t>
  </si>
  <si>
    <t>Scale</t>
  </si>
  <si>
    <t>Glue Stick</t>
  </si>
  <si>
    <t>Paper Pin</t>
  </si>
  <si>
    <t>Spounge</t>
  </si>
  <si>
    <t>Price Tag</t>
  </si>
  <si>
    <t>Sticky Note</t>
  </si>
  <si>
    <t>Writing Pad</t>
  </si>
  <si>
    <t>Touch Pin</t>
  </si>
  <si>
    <t>Paper Clip</t>
  </si>
  <si>
    <t>Highlighter</t>
  </si>
  <si>
    <t>Knife Cutter</t>
  </si>
  <si>
    <t>Knife Blade</t>
  </si>
  <si>
    <t>Envelop A4 Size</t>
  </si>
  <si>
    <t>Envelop A3 Size</t>
  </si>
  <si>
    <t>Envelop Dl Size</t>
  </si>
  <si>
    <t>Box Files</t>
  </si>
  <si>
    <t>Punching Machine</t>
  </si>
  <si>
    <t>Document Folder</t>
  </si>
  <si>
    <t>Paper File</t>
  </si>
  <si>
    <t>Tape Dispenser</t>
  </si>
  <si>
    <t>Scissor</t>
  </si>
  <si>
    <t>Carton Boxes</t>
  </si>
  <si>
    <t>Remote Cell</t>
  </si>
  <si>
    <t>Calculator</t>
  </si>
  <si>
    <t>Register Ledger</t>
  </si>
  <si>
    <t>Stamp Paid</t>
  </si>
  <si>
    <t>Stamp Paper</t>
  </si>
  <si>
    <t>ST_ID</t>
  </si>
  <si>
    <t>ST_Name</t>
  </si>
  <si>
    <t>Desktop System</t>
  </si>
  <si>
    <t>Laptop</t>
  </si>
  <si>
    <t>Keyboard</t>
  </si>
  <si>
    <t>Mouse (Wired)</t>
  </si>
  <si>
    <t>Mouse (Wire-Less)</t>
  </si>
  <si>
    <t>Power Cable</t>
  </si>
  <si>
    <t>Printer</t>
  </si>
  <si>
    <t>Copier</t>
  </si>
  <si>
    <t>Server</t>
  </si>
  <si>
    <t>Hard Drive</t>
  </si>
  <si>
    <t>External Hard Drive</t>
  </si>
  <si>
    <t>Apple Macbook</t>
  </si>
  <si>
    <t>Network Switch</t>
  </si>
  <si>
    <t>Network Cable</t>
  </si>
  <si>
    <t>U.P.S</t>
  </si>
  <si>
    <t>C.D Rom</t>
  </si>
  <si>
    <t>Hard Drive Case</t>
  </si>
  <si>
    <t>12 Volt Adaptor</t>
  </si>
  <si>
    <t>Cleaner Spray</t>
  </si>
  <si>
    <t>Network Plug</t>
  </si>
  <si>
    <t>Laptop Battery</t>
  </si>
  <si>
    <t>D-Port Cable</t>
  </si>
  <si>
    <t>Card Reader</t>
  </si>
  <si>
    <t>Processor</t>
  </si>
  <si>
    <t>Head Phone</t>
  </si>
  <si>
    <t>IT_ID</t>
  </si>
  <si>
    <t>IT_Name</t>
  </si>
  <si>
    <t>Everyday Milk</t>
  </si>
  <si>
    <t>Milk Pack</t>
  </si>
  <si>
    <t>Tea Bag</t>
  </si>
  <si>
    <t>Sugar</t>
  </si>
  <si>
    <t>Air Freshener</t>
  </si>
  <si>
    <t>Morten Spray</t>
  </si>
  <si>
    <t>Scoth Brite</t>
  </si>
  <si>
    <t>Lemon Max Dish Soap</t>
  </si>
  <si>
    <t>Lemon Max Dish Liquid</t>
  </si>
  <si>
    <t>Nestle Coffee</t>
  </si>
  <si>
    <t>Duster</t>
  </si>
  <si>
    <t>David Off Coffee</t>
  </si>
  <si>
    <t xml:space="preserve">Peek Freans Lemon Sandwich </t>
  </si>
  <si>
    <t>Peek Freans Party Biscuit</t>
  </si>
  <si>
    <t xml:space="preserve">Lu Zeera Plus </t>
  </si>
  <si>
    <t>Peek Freans Gluco Biscuit</t>
  </si>
  <si>
    <t>Crush</t>
  </si>
  <si>
    <t>Peek Freans Peanut Pik Biscuit</t>
  </si>
  <si>
    <t>Peek Freans Chocolate Sandwich Biscuit</t>
  </si>
  <si>
    <t>Green Tea</t>
  </si>
  <si>
    <t>Chat Masala Shan</t>
  </si>
  <si>
    <t>Lux Soap</t>
  </si>
  <si>
    <t>Surf</t>
  </si>
  <si>
    <t>Harpic Green</t>
  </si>
  <si>
    <t>Harpic Blue</t>
  </si>
  <si>
    <t>Sweep</t>
  </si>
  <si>
    <t>Glint</t>
  </si>
  <si>
    <t>Dettol Cleaner</t>
  </si>
  <si>
    <t xml:space="preserve">Gerbig Bag 24/30 </t>
  </si>
  <si>
    <t>Gerbig Bag  30/24</t>
  </si>
  <si>
    <t>Caroline Phynayel</t>
  </si>
  <si>
    <t xml:space="preserve">Broom Hard And Soft </t>
  </si>
  <si>
    <t>Dettol Antiseptic Liquid</t>
  </si>
  <si>
    <t xml:space="preserve">Mop Riffle 600 Gram </t>
  </si>
  <si>
    <t>Wiper</t>
  </si>
  <si>
    <t>Supri</t>
  </si>
  <si>
    <t>Dry Mop With Riffle</t>
  </si>
  <si>
    <t>Hand Wash</t>
  </si>
  <si>
    <t>Glass Wiper</t>
  </si>
  <si>
    <t>Dry Mop Metal Rod</t>
  </si>
  <si>
    <t>LCD Screen</t>
  </si>
  <si>
    <t>VGA Cord</t>
  </si>
  <si>
    <t>IP Phone</t>
  </si>
  <si>
    <t>IP Phone Adaptor</t>
  </si>
  <si>
    <t>RAM</t>
  </si>
  <si>
    <t>SSD Drive</t>
  </si>
  <si>
    <t>RF Reader Card</t>
  </si>
  <si>
    <t>USB HUB</t>
  </si>
  <si>
    <t>USB Extension Cable</t>
  </si>
  <si>
    <t>LAN To Usb Convertor Cable</t>
  </si>
  <si>
    <t xml:space="preserve">USB </t>
  </si>
  <si>
    <t>HDMI Cable</t>
  </si>
  <si>
    <t>WEB Camera</t>
  </si>
  <si>
    <t>Water Dispenser</t>
  </si>
  <si>
    <t>Refrigerator</t>
  </si>
  <si>
    <t>Microwave Oven</t>
  </si>
  <si>
    <t>Electric Kettle</t>
  </si>
  <si>
    <t>Ceiling Fan</t>
  </si>
  <si>
    <t>Projector</t>
  </si>
  <si>
    <t>Video Conferencing System</t>
  </si>
  <si>
    <t>CCTV System</t>
  </si>
  <si>
    <t>Biometric Attendance Machine</t>
  </si>
  <si>
    <t>Air Conditioner Split 1 Ton</t>
  </si>
  <si>
    <t>Air Conditioner Split 1.5 Ton</t>
  </si>
  <si>
    <t>Air Conditioner Split 2 Ton</t>
  </si>
  <si>
    <t>GPG_ID</t>
  </si>
  <si>
    <t>GPG_Name</t>
  </si>
  <si>
    <t>GPA_ID</t>
  </si>
  <si>
    <t>GPA_Name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</si>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</sst>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0" borderId="0" xfId="0" applyNumberFormat="1"/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7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/>
    <xf numFmtId="0" fontId="8" fillId="0" borderId="14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AD5B-BE93-462B-B9D9-73C153102EA6}">
  <sheetPr codeName="Sheet1"/>
  <dimension ref="A1:L22"/>
  <sheetViews>
    <sheetView topLeftCell="G1" zoomScale="115" zoomScaleNormal="115" workbookViewId="0">
      <selection activeCell="K13" sqref="K13"/>
    </sheetView>
  </sheetViews>
  <sheetFormatPr defaultRowHeight="14.4" x14ac:dyDescent="0.3"/>
  <cols>
    <col min="1" max="1" width="13.44140625" customWidth="1"/>
    <col min="2" max="2" width="37.33203125" bestFit="1" customWidth="1"/>
    <col min="3" max="3" width="9.21875" bestFit="1" customWidth="1"/>
    <col min="4" max="4" width="9.21875" customWidth="1"/>
    <col min="5" max="5" width="16.88671875" customWidth="1"/>
    <col min="6" max="6" width="29.33203125" customWidth="1"/>
    <col min="7" max="7" width="33.21875" customWidth="1"/>
    <col min="8" max="8" width="17.109375" bestFit="1" customWidth="1"/>
    <col min="9" max="10" width="33.21875" customWidth="1"/>
    <col min="11" max="11" width="16" bestFit="1" customWidth="1"/>
    <col min="12" max="12" width="22.44140625" customWidth="1"/>
  </cols>
  <sheetData>
    <row r="1" spans="1:12" ht="18.600000000000001" thickBot="1" x14ac:dyDescent="0.35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9" t="s">
        <v>14</v>
      </c>
      <c r="B2" s="10" t="s">
        <v>16</v>
      </c>
      <c r="C2" s="10" t="s">
        <v>1</v>
      </c>
      <c r="D2" s="10"/>
      <c r="E2" s="10" t="s">
        <v>3</v>
      </c>
      <c r="F2" s="10" t="s">
        <v>85</v>
      </c>
      <c r="G2" s="10" t="s">
        <v>83</v>
      </c>
      <c r="H2" s="10" t="s">
        <v>78</v>
      </c>
      <c r="I2" s="10" t="s">
        <v>76</v>
      </c>
      <c r="J2" s="10" t="s">
        <v>82</v>
      </c>
      <c r="K2" s="10" t="s">
        <v>7</v>
      </c>
      <c r="L2" s="11" t="s">
        <v>17</v>
      </c>
    </row>
    <row r="3" spans="1:12" x14ac:dyDescent="0.3">
      <c r="A3" s="12" t="s">
        <v>0</v>
      </c>
      <c r="B3" s="13" t="s">
        <v>2</v>
      </c>
      <c r="C3" s="13" t="s">
        <v>6</v>
      </c>
      <c r="D3" s="13"/>
      <c r="E3" s="13" t="s">
        <v>5</v>
      </c>
      <c r="F3" s="13" t="s">
        <v>18</v>
      </c>
      <c r="G3" s="13" t="s">
        <v>18</v>
      </c>
      <c r="H3" s="14" t="s">
        <v>4</v>
      </c>
      <c r="I3" s="13" t="s">
        <v>77</v>
      </c>
      <c r="J3" s="13" t="s">
        <v>18</v>
      </c>
      <c r="K3" s="13" t="s">
        <v>18</v>
      </c>
      <c r="L3" s="14" t="s">
        <v>4</v>
      </c>
    </row>
    <row r="4" spans="1:12" x14ac:dyDescent="0.3">
      <c r="A4" s="12" t="s">
        <v>0</v>
      </c>
      <c r="B4" s="13" t="s">
        <v>70</v>
      </c>
      <c r="C4" s="13" t="s">
        <v>6</v>
      </c>
      <c r="D4" s="13"/>
      <c r="E4" s="13" t="s">
        <v>5</v>
      </c>
      <c r="F4" s="13" t="s">
        <v>18</v>
      </c>
      <c r="G4" s="13" t="s">
        <v>18</v>
      </c>
      <c r="H4" s="14" t="s">
        <v>4</v>
      </c>
      <c r="I4" s="13" t="s">
        <v>77</v>
      </c>
      <c r="J4" s="13" t="s">
        <v>18</v>
      </c>
      <c r="K4" s="13" t="s">
        <v>18</v>
      </c>
      <c r="L4" s="14" t="s">
        <v>4</v>
      </c>
    </row>
    <row r="5" spans="1:12" x14ac:dyDescent="0.3">
      <c r="A5" s="12" t="s">
        <v>0</v>
      </c>
      <c r="B5" s="13" t="s">
        <v>71</v>
      </c>
      <c r="C5" s="13" t="s">
        <v>6</v>
      </c>
      <c r="D5" s="13"/>
      <c r="E5" s="13" t="s">
        <v>5</v>
      </c>
      <c r="F5" s="13" t="s">
        <v>18</v>
      </c>
      <c r="G5" s="13" t="s">
        <v>22</v>
      </c>
      <c r="H5" s="14" t="s">
        <v>4</v>
      </c>
      <c r="I5" s="13" t="s">
        <v>72</v>
      </c>
      <c r="J5" s="13" t="s">
        <v>22</v>
      </c>
      <c r="K5" s="13" t="s">
        <v>21</v>
      </c>
      <c r="L5" s="14" t="s">
        <v>4</v>
      </c>
    </row>
    <row r="6" spans="1:12" ht="28.8" x14ac:dyDescent="0.3">
      <c r="A6" s="12" t="s">
        <v>0</v>
      </c>
      <c r="B6" s="13" t="s">
        <v>74</v>
      </c>
      <c r="C6" s="13" t="s">
        <v>6</v>
      </c>
      <c r="D6" s="13"/>
      <c r="E6" s="13" t="s">
        <v>5</v>
      </c>
      <c r="F6" s="13" t="s">
        <v>18</v>
      </c>
      <c r="G6" s="13" t="s">
        <v>22</v>
      </c>
      <c r="H6" s="14" t="s">
        <v>4</v>
      </c>
      <c r="I6" s="13" t="s">
        <v>72</v>
      </c>
      <c r="J6" s="13" t="s">
        <v>75</v>
      </c>
      <c r="K6" s="13" t="s">
        <v>21</v>
      </c>
      <c r="L6" s="14" t="s">
        <v>4</v>
      </c>
    </row>
    <row r="7" spans="1:12" x14ac:dyDescent="0.3">
      <c r="A7" s="12" t="s">
        <v>0</v>
      </c>
      <c r="B7" s="13" t="s">
        <v>84</v>
      </c>
      <c r="C7" s="13" t="s">
        <v>6</v>
      </c>
      <c r="D7" s="13"/>
      <c r="E7" s="13" t="s">
        <v>81</v>
      </c>
      <c r="F7" s="13" t="s">
        <v>19</v>
      </c>
      <c r="G7" s="13" t="s">
        <v>18</v>
      </c>
      <c r="H7" s="14" t="s">
        <v>69</v>
      </c>
      <c r="I7" s="13" t="s">
        <v>77</v>
      </c>
      <c r="J7" s="13" t="s">
        <v>18</v>
      </c>
      <c r="K7" s="13" t="s">
        <v>20</v>
      </c>
      <c r="L7" s="14" t="s">
        <v>69</v>
      </c>
    </row>
    <row r="8" spans="1:12" x14ac:dyDescent="0.3">
      <c r="A8" s="12" t="s">
        <v>0</v>
      </c>
      <c r="B8" s="13" t="s">
        <v>8</v>
      </c>
      <c r="C8" s="13" t="s">
        <v>6</v>
      </c>
      <c r="D8" s="13"/>
      <c r="E8" s="13" t="s">
        <v>81</v>
      </c>
      <c r="F8" s="13" t="s">
        <v>18</v>
      </c>
      <c r="G8" s="13" t="s">
        <v>18</v>
      </c>
      <c r="H8" s="14" t="s">
        <v>12</v>
      </c>
      <c r="I8" s="13" t="s">
        <v>13</v>
      </c>
      <c r="J8" s="13" t="s">
        <v>18</v>
      </c>
      <c r="K8" s="13" t="s">
        <v>21</v>
      </c>
      <c r="L8" s="14" t="s">
        <v>12</v>
      </c>
    </row>
    <row r="9" spans="1:12" x14ac:dyDescent="0.3">
      <c r="A9" s="12" t="s">
        <v>0</v>
      </c>
      <c r="B9" s="13" t="s">
        <v>9</v>
      </c>
      <c r="C9" s="13" t="s">
        <v>6</v>
      </c>
      <c r="D9" s="13"/>
      <c r="E9" s="13" t="s">
        <v>18</v>
      </c>
      <c r="F9" s="13" t="s">
        <v>18</v>
      </c>
      <c r="G9" s="13" t="s">
        <v>22</v>
      </c>
      <c r="H9" s="14"/>
      <c r="I9" s="13"/>
      <c r="J9" s="13" t="s">
        <v>22</v>
      </c>
      <c r="K9" s="13" t="s">
        <v>21</v>
      </c>
      <c r="L9" s="14" t="s">
        <v>12</v>
      </c>
    </row>
    <row r="10" spans="1:12" x14ac:dyDescent="0.3">
      <c r="A10" s="12" t="s">
        <v>0</v>
      </c>
      <c r="B10" s="13" t="s">
        <v>10</v>
      </c>
      <c r="C10" s="13" t="s">
        <v>6</v>
      </c>
      <c r="D10" s="13"/>
      <c r="E10" s="13" t="s">
        <v>18</v>
      </c>
      <c r="F10" s="13" t="s">
        <v>18</v>
      </c>
      <c r="G10" s="13" t="s">
        <v>22</v>
      </c>
      <c r="H10" s="14" t="s">
        <v>12</v>
      </c>
      <c r="I10" s="13" t="s">
        <v>13</v>
      </c>
      <c r="J10" s="13" t="s">
        <v>22</v>
      </c>
      <c r="K10" s="13" t="s">
        <v>21</v>
      </c>
      <c r="L10" s="14" t="s">
        <v>12</v>
      </c>
    </row>
    <row r="11" spans="1:12" x14ac:dyDescent="0.3">
      <c r="A11" s="12" t="s">
        <v>0</v>
      </c>
      <c r="B11" s="13" t="s">
        <v>79</v>
      </c>
      <c r="C11" s="13" t="s">
        <v>6</v>
      </c>
      <c r="D11" s="13"/>
      <c r="E11" s="13" t="s">
        <v>18</v>
      </c>
      <c r="F11" s="13" t="s">
        <v>18</v>
      </c>
      <c r="G11" s="13" t="s">
        <v>22</v>
      </c>
      <c r="H11" s="14" t="s">
        <v>12</v>
      </c>
      <c r="I11" s="13" t="s">
        <v>13</v>
      </c>
      <c r="J11" s="13" t="s">
        <v>22</v>
      </c>
      <c r="K11" s="13" t="s">
        <v>21</v>
      </c>
      <c r="L11" s="14" t="s">
        <v>12</v>
      </c>
    </row>
    <row r="12" spans="1:12" x14ac:dyDescent="0.3">
      <c r="A12" s="12" t="s">
        <v>0</v>
      </c>
      <c r="B12" s="13" t="s">
        <v>80</v>
      </c>
      <c r="C12" s="13" t="s">
        <v>6</v>
      </c>
      <c r="D12" s="13"/>
      <c r="E12" s="13" t="s">
        <v>18</v>
      </c>
      <c r="F12" s="13" t="s">
        <v>18</v>
      </c>
      <c r="G12" s="13" t="s">
        <v>22</v>
      </c>
      <c r="H12" s="14" t="s">
        <v>12</v>
      </c>
      <c r="I12" s="13" t="s">
        <v>13</v>
      </c>
      <c r="J12" s="13" t="s">
        <v>22</v>
      </c>
      <c r="K12" s="13" t="s">
        <v>21</v>
      </c>
      <c r="L12" s="14" t="s">
        <v>12</v>
      </c>
    </row>
    <row r="13" spans="1:12" ht="15" thickBot="1" x14ac:dyDescent="0.35">
      <c r="A13" s="15" t="s">
        <v>0</v>
      </c>
      <c r="B13" s="16" t="s">
        <v>11</v>
      </c>
      <c r="C13" s="16" t="s">
        <v>6</v>
      </c>
      <c r="D13" s="16"/>
      <c r="E13" s="16" t="s">
        <v>18</v>
      </c>
      <c r="F13" s="16" t="s">
        <v>18</v>
      </c>
      <c r="G13" s="16" t="s">
        <v>22</v>
      </c>
      <c r="H13" s="17" t="s">
        <v>12</v>
      </c>
      <c r="I13" s="16"/>
      <c r="J13" s="16" t="s">
        <v>22</v>
      </c>
      <c r="K13" s="16" t="s">
        <v>21</v>
      </c>
      <c r="L13" s="17" t="s">
        <v>12</v>
      </c>
    </row>
    <row r="16" spans="1:12" ht="23.4" x14ac:dyDescent="0.3">
      <c r="A16" s="2" t="s">
        <v>67</v>
      </c>
    </row>
    <row r="17" spans="1:1" x14ac:dyDescent="0.3">
      <c r="A17" s="4"/>
    </row>
    <row r="18" spans="1:1" x14ac:dyDescent="0.3">
      <c r="A18" s="4" t="s">
        <v>68</v>
      </c>
    </row>
    <row r="19" spans="1:1" x14ac:dyDescent="0.3">
      <c r="A19" s="3"/>
    </row>
    <row r="20" spans="1:1" x14ac:dyDescent="0.3">
      <c r="A20" s="3" t="s">
        <v>23</v>
      </c>
    </row>
    <row r="21" spans="1:1" x14ac:dyDescent="0.3">
      <c r="A21" s="3"/>
    </row>
    <row r="22" spans="1:1" x14ac:dyDescent="0.3">
      <c r="A22" s="3" t="s">
        <v>73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EF7C-D331-4092-A292-EFC2C2C7E9B7}">
  <dimension ref="A1:A103"/>
  <sheetViews>
    <sheetView topLeftCell="A79" workbookViewId="0"/>
  </sheetViews>
  <sheetFormatPr defaultRowHeight="14.4" x14ac:dyDescent="0.3"/>
  <sheetData>
    <row r="1" spans="1:1" ht="31.2" x14ac:dyDescent="0.3">
      <c r="A1" s="6" t="s">
        <v>24</v>
      </c>
    </row>
    <row r="3" spans="1:1" ht="23.4" x14ac:dyDescent="0.3">
      <c r="A3" s="2" t="s">
        <v>25</v>
      </c>
    </row>
    <row r="5" spans="1:1" ht="18" x14ac:dyDescent="0.3">
      <c r="A5" s="7" t="s">
        <v>26</v>
      </c>
    </row>
    <row r="7" spans="1:1" x14ac:dyDescent="0.3">
      <c r="A7" t="s">
        <v>27</v>
      </c>
    </row>
    <row r="9" spans="1:1" ht="18" x14ac:dyDescent="0.3">
      <c r="A9" s="7" t="s">
        <v>28</v>
      </c>
    </row>
    <row r="11" spans="1:1" x14ac:dyDescent="0.3">
      <c r="A11" t="s">
        <v>29</v>
      </c>
    </row>
    <row r="13" spans="1:1" ht="18" x14ac:dyDescent="0.3">
      <c r="A13" s="7" t="s">
        <v>30</v>
      </c>
    </row>
    <row r="14" spans="1:1" x14ac:dyDescent="0.3">
      <c r="A14" s="3"/>
    </row>
    <row r="15" spans="1:1" x14ac:dyDescent="0.3">
      <c r="A15" s="5" t="s">
        <v>31</v>
      </c>
    </row>
    <row r="16" spans="1:1" x14ac:dyDescent="0.3">
      <c r="A16" s="3"/>
    </row>
    <row r="17" spans="1:1" x14ac:dyDescent="0.3">
      <c r="A17" s="5" t="s">
        <v>32</v>
      </c>
    </row>
    <row r="18" spans="1:1" x14ac:dyDescent="0.3">
      <c r="A18" s="3"/>
    </row>
    <row r="19" spans="1:1" x14ac:dyDescent="0.3">
      <c r="A19" s="5" t="s">
        <v>33</v>
      </c>
    </row>
    <row r="20" spans="1:1" x14ac:dyDescent="0.3">
      <c r="A20" s="3"/>
    </row>
    <row r="21" spans="1:1" x14ac:dyDescent="0.3">
      <c r="A21" s="5" t="s">
        <v>34</v>
      </c>
    </row>
    <row r="22" spans="1:1" x14ac:dyDescent="0.3">
      <c r="A22" s="3"/>
    </row>
    <row r="23" spans="1:1" x14ac:dyDescent="0.3">
      <c r="A23" s="5" t="s">
        <v>35</v>
      </c>
    </row>
    <row r="24" spans="1:1" x14ac:dyDescent="0.3">
      <c r="A24" s="3"/>
    </row>
    <row r="25" spans="1:1" x14ac:dyDescent="0.3">
      <c r="A25" s="5" t="s">
        <v>36</v>
      </c>
    </row>
    <row r="26" spans="1:1" x14ac:dyDescent="0.3">
      <c r="A26" s="3"/>
    </row>
    <row r="27" spans="1:1" x14ac:dyDescent="0.3">
      <c r="A27" s="5" t="s">
        <v>37</v>
      </c>
    </row>
    <row r="29" spans="1:1" ht="18" x14ac:dyDescent="0.3">
      <c r="A29" s="7" t="s">
        <v>38</v>
      </c>
    </row>
    <row r="31" spans="1:1" ht="15.6" x14ac:dyDescent="0.3">
      <c r="A31" s="8" t="s">
        <v>39</v>
      </c>
    </row>
    <row r="32" spans="1:1" x14ac:dyDescent="0.3">
      <c r="A32" s="3"/>
    </row>
    <row r="33" spans="1:1" x14ac:dyDescent="0.3">
      <c r="A33" s="3" t="s">
        <v>40</v>
      </c>
    </row>
    <row r="34" spans="1:1" x14ac:dyDescent="0.3">
      <c r="A34" s="3"/>
    </row>
    <row r="35" spans="1:1" x14ac:dyDescent="0.3">
      <c r="A35" s="3" t="s">
        <v>41</v>
      </c>
    </row>
    <row r="36" spans="1:1" x14ac:dyDescent="0.3">
      <c r="A36" s="3"/>
    </row>
    <row r="37" spans="1:1" x14ac:dyDescent="0.3">
      <c r="A37" s="3" t="s">
        <v>42</v>
      </c>
    </row>
    <row r="39" spans="1:1" ht="15.6" x14ac:dyDescent="0.3">
      <c r="A39" s="8" t="s">
        <v>43</v>
      </c>
    </row>
    <row r="40" spans="1:1" x14ac:dyDescent="0.3">
      <c r="A40" s="3"/>
    </row>
    <row r="41" spans="1:1" x14ac:dyDescent="0.3">
      <c r="A41" s="3" t="s">
        <v>44</v>
      </c>
    </row>
    <row r="42" spans="1:1" x14ac:dyDescent="0.3">
      <c r="A42" s="3"/>
    </row>
    <row r="43" spans="1:1" x14ac:dyDescent="0.3">
      <c r="A43" s="3" t="s">
        <v>45</v>
      </c>
    </row>
    <row r="44" spans="1:1" x14ac:dyDescent="0.3">
      <c r="A44" s="3"/>
    </row>
    <row r="45" spans="1:1" x14ac:dyDescent="0.3">
      <c r="A45" s="3" t="s">
        <v>46</v>
      </c>
    </row>
    <row r="47" spans="1:1" ht="15.6" x14ac:dyDescent="0.3">
      <c r="A47" s="8" t="s">
        <v>47</v>
      </c>
    </row>
    <row r="48" spans="1:1" x14ac:dyDescent="0.3">
      <c r="A48" s="3"/>
    </row>
    <row r="49" spans="1:1" x14ac:dyDescent="0.3">
      <c r="A49" s="3" t="s">
        <v>44</v>
      </c>
    </row>
    <row r="50" spans="1:1" x14ac:dyDescent="0.3">
      <c r="A50" s="3"/>
    </row>
    <row r="51" spans="1:1" x14ac:dyDescent="0.3">
      <c r="A51" s="3" t="s">
        <v>45</v>
      </c>
    </row>
    <row r="52" spans="1:1" x14ac:dyDescent="0.3">
      <c r="A52" s="3"/>
    </row>
    <row r="53" spans="1:1" x14ac:dyDescent="0.3">
      <c r="A53" s="3" t="s">
        <v>46</v>
      </c>
    </row>
    <row r="55" spans="1:1" ht="15.6" x14ac:dyDescent="0.3">
      <c r="A55" s="8" t="s">
        <v>48</v>
      </c>
    </row>
    <row r="56" spans="1:1" x14ac:dyDescent="0.3">
      <c r="A56" s="3"/>
    </row>
    <row r="57" spans="1:1" x14ac:dyDescent="0.3">
      <c r="A57" s="3" t="s">
        <v>44</v>
      </c>
    </row>
    <row r="58" spans="1:1" x14ac:dyDescent="0.3">
      <c r="A58" s="3"/>
    </row>
    <row r="59" spans="1:1" x14ac:dyDescent="0.3">
      <c r="A59" s="3" t="s">
        <v>49</v>
      </c>
    </row>
    <row r="60" spans="1:1" x14ac:dyDescent="0.3">
      <c r="A60" s="3"/>
    </row>
    <row r="61" spans="1:1" x14ac:dyDescent="0.3">
      <c r="A61" s="3" t="s">
        <v>50</v>
      </c>
    </row>
    <row r="62" spans="1:1" x14ac:dyDescent="0.3">
      <c r="A62" s="3"/>
    </row>
    <row r="63" spans="1:1" x14ac:dyDescent="0.3">
      <c r="A63" s="3" t="s">
        <v>51</v>
      </c>
    </row>
    <row r="65" spans="1:1" ht="15.6" x14ac:dyDescent="0.3">
      <c r="A65" s="8" t="s">
        <v>52</v>
      </c>
    </row>
    <row r="66" spans="1:1" x14ac:dyDescent="0.3">
      <c r="A66" s="3"/>
    </row>
    <row r="67" spans="1:1" x14ac:dyDescent="0.3">
      <c r="A67" s="3" t="s">
        <v>44</v>
      </c>
    </row>
    <row r="68" spans="1:1" x14ac:dyDescent="0.3">
      <c r="A68" s="3"/>
    </row>
    <row r="69" spans="1:1" x14ac:dyDescent="0.3">
      <c r="A69" s="3" t="s">
        <v>53</v>
      </c>
    </row>
    <row r="70" spans="1:1" x14ac:dyDescent="0.3">
      <c r="A70" s="3"/>
    </row>
    <row r="71" spans="1:1" x14ac:dyDescent="0.3">
      <c r="A71" s="3" t="s">
        <v>49</v>
      </c>
    </row>
    <row r="72" spans="1:1" x14ac:dyDescent="0.3">
      <c r="A72" s="3"/>
    </row>
    <row r="73" spans="1:1" x14ac:dyDescent="0.3">
      <c r="A73" s="3" t="s">
        <v>50</v>
      </c>
    </row>
    <row r="74" spans="1:1" x14ac:dyDescent="0.3">
      <c r="A74" s="3"/>
    </row>
    <row r="75" spans="1:1" x14ac:dyDescent="0.3">
      <c r="A75" s="3" t="s">
        <v>51</v>
      </c>
    </row>
    <row r="77" spans="1:1" ht="18" x14ac:dyDescent="0.3">
      <c r="A77" s="7" t="s">
        <v>54</v>
      </c>
    </row>
    <row r="78" spans="1:1" x14ac:dyDescent="0.3">
      <c r="A78" s="3"/>
    </row>
    <row r="79" spans="1:1" x14ac:dyDescent="0.3">
      <c r="A79" s="3" t="s">
        <v>55</v>
      </c>
    </row>
    <row r="81" spans="1:1" ht="18" x14ac:dyDescent="0.3">
      <c r="A81" s="7" t="s">
        <v>56</v>
      </c>
    </row>
    <row r="82" spans="1:1" x14ac:dyDescent="0.3">
      <c r="A82" s="3"/>
    </row>
    <row r="83" spans="1:1" x14ac:dyDescent="0.3">
      <c r="A83" s="3" t="s">
        <v>57</v>
      </c>
    </row>
    <row r="84" spans="1:1" x14ac:dyDescent="0.3">
      <c r="A84" s="3"/>
    </row>
    <row r="85" spans="1:1" x14ac:dyDescent="0.3">
      <c r="A85" s="3" t="s">
        <v>58</v>
      </c>
    </row>
    <row r="86" spans="1:1" x14ac:dyDescent="0.3">
      <c r="A86" s="3"/>
    </row>
    <row r="87" spans="1:1" x14ac:dyDescent="0.3">
      <c r="A87" s="3" t="s">
        <v>59</v>
      </c>
    </row>
    <row r="91" spans="1:1" ht="23.4" x14ac:dyDescent="0.3">
      <c r="A91" s="2" t="s">
        <v>60</v>
      </c>
    </row>
    <row r="93" spans="1:1" x14ac:dyDescent="0.3">
      <c r="A93" s="1" t="s">
        <v>61</v>
      </c>
    </row>
    <row r="97" spans="1:1" ht="18" x14ac:dyDescent="0.3">
      <c r="A97" s="7" t="s">
        <v>62</v>
      </c>
    </row>
    <row r="99" spans="1:1" x14ac:dyDescent="0.3">
      <c r="A99" t="s">
        <v>63</v>
      </c>
    </row>
    <row r="101" spans="1:1" x14ac:dyDescent="0.3">
      <c r="A101" s="1" t="s">
        <v>64</v>
      </c>
    </row>
    <row r="102" spans="1:1" x14ac:dyDescent="0.3">
      <c r="A102" s="1" t="s">
        <v>65</v>
      </c>
    </row>
    <row r="103" spans="1:1" x14ac:dyDescent="0.3">
      <c r="A103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40DF-3EB4-4C53-BCA9-01062E3BD337}">
  <dimension ref="A1:B12"/>
  <sheetViews>
    <sheetView tabSelected="1" workbookViewId="0">
      <selection activeCell="H13" sqref="H13"/>
    </sheetView>
  </sheetViews>
  <sheetFormatPr defaultRowHeight="14.4" x14ac:dyDescent="0.3"/>
  <cols>
    <col min="1" max="1" width="9.77734375" bestFit="1" customWidth="1"/>
    <col min="2" max="2" width="36.5546875" bestFit="1" customWidth="1"/>
  </cols>
  <sheetData>
    <row r="1" spans="1:2" x14ac:dyDescent="0.3">
      <c r="A1" t="s">
        <v>127</v>
      </c>
      <c r="B1" t="s">
        <v>128</v>
      </c>
    </row>
    <row r="2" spans="1:2" s="28" customFormat="1" x14ac:dyDescent="0.3">
      <c r="A2" s="28">
        <v>1</v>
      </c>
      <c r="B2" s="28" t="s">
        <v>2</v>
      </c>
    </row>
    <row r="3" spans="1:2" x14ac:dyDescent="0.3">
      <c r="A3">
        <v>2</v>
      </c>
      <c r="B3" t="s">
        <v>70</v>
      </c>
    </row>
    <row r="4" spans="1:2" s="28" customFormat="1" x14ac:dyDescent="0.3">
      <c r="A4" s="28">
        <v>3</v>
      </c>
      <c r="B4" s="28" t="s">
        <v>71</v>
      </c>
    </row>
    <row r="5" spans="1:2" x14ac:dyDescent="0.3">
      <c r="A5">
        <v>4</v>
      </c>
      <c r="B5" t="s">
        <v>74</v>
      </c>
    </row>
    <row r="6" spans="1:2" s="28" customFormat="1" x14ac:dyDescent="0.3">
      <c r="A6" s="28">
        <v>5</v>
      </c>
      <c r="B6" s="28" t="s">
        <v>84</v>
      </c>
    </row>
    <row r="7" spans="1:2" s="28" customFormat="1" x14ac:dyDescent="0.3">
      <c r="A7" s="28">
        <v>6</v>
      </c>
      <c r="B7" s="28" t="s">
        <v>8</v>
      </c>
    </row>
    <row r="8" spans="1:2" x14ac:dyDescent="0.3">
      <c r="A8">
        <v>7</v>
      </c>
      <c r="B8" t="s">
        <v>9</v>
      </c>
    </row>
    <row r="9" spans="1:2" s="28" customFormat="1" x14ac:dyDescent="0.3">
      <c r="A9" s="28">
        <v>8</v>
      </c>
      <c r="B9" s="28" t="s">
        <v>10</v>
      </c>
    </row>
    <row r="10" spans="1:2" x14ac:dyDescent="0.3">
      <c r="A10">
        <v>9</v>
      </c>
      <c r="B10" t="s">
        <v>129</v>
      </c>
    </row>
    <row r="11" spans="1:2" x14ac:dyDescent="0.3">
      <c r="A11">
        <v>10</v>
      </c>
      <c r="B11" t="s">
        <v>130</v>
      </c>
    </row>
    <row r="12" spans="1:2" x14ac:dyDescent="0.3">
      <c r="A12">
        <v>11</v>
      </c>
      <c r="B1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2A7D-3E6F-4E87-8D68-005D9F6B3A51}">
  <dimension ref="A1:B43"/>
  <sheetViews>
    <sheetView workbookViewId="0">
      <selection activeCell="E14" sqref="E14"/>
    </sheetView>
  </sheetViews>
  <sheetFormatPr defaultRowHeight="14.4" x14ac:dyDescent="0.3"/>
  <cols>
    <col min="2" max="2" width="30.44140625" bestFit="1" customWidth="1"/>
  </cols>
  <sheetData>
    <row r="1" spans="1:2" ht="15.6" x14ac:dyDescent="0.3">
      <c r="A1" s="20" t="s">
        <v>212</v>
      </c>
      <c r="B1" s="21" t="s">
        <v>213</v>
      </c>
    </row>
    <row r="2" spans="1:2" ht="15.6" x14ac:dyDescent="0.3">
      <c r="A2" s="22">
        <v>1</v>
      </c>
      <c r="B2" s="23" t="s">
        <v>170</v>
      </c>
    </row>
    <row r="3" spans="1:2" ht="15.6" x14ac:dyDescent="0.3">
      <c r="A3" s="22">
        <v>2</v>
      </c>
      <c r="B3" s="23" t="s">
        <v>171</v>
      </c>
    </row>
    <row r="4" spans="1:2" ht="15.6" x14ac:dyDescent="0.3">
      <c r="A4" s="22">
        <v>3</v>
      </c>
      <c r="B4" s="23" t="s">
        <v>172</v>
      </c>
    </row>
    <row r="5" spans="1:2" ht="15.6" x14ac:dyDescent="0.3">
      <c r="A5" s="22">
        <v>4</v>
      </c>
      <c r="B5" s="23" t="s">
        <v>173</v>
      </c>
    </row>
    <row r="6" spans="1:2" ht="15.6" x14ac:dyDescent="0.3">
      <c r="A6" s="22">
        <v>5</v>
      </c>
      <c r="B6" s="23" t="s">
        <v>174</v>
      </c>
    </row>
    <row r="7" spans="1:2" ht="15.6" x14ac:dyDescent="0.3">
      <c r="A7" s="22">
        <v>6</v>
      </c>
      <c r="B7" s="23" t="s">
        <v>175</v>
      </c>
    </row>
    <row r="8" spans="1:2" ht="15.6" x14ac:dyDescent="0.3">
      <c r="A8" s="22">
        <v>7</v>
      </c>
      <c r="B8" s="23" t="s">
        <v>176</v>
      </c>
    </row>
    <row r="9" spans="1:2" ht="15.6" x14ac:dyDescent="0.3">
      <c r="A9" s="22">
        <v>8</v>
      </c>
      <c r="B9" s="23" t="s">
        <v>177</v>
      </c>
    </row>
    <row r="10" spans="1:2" ht="15.6" x14ac:dyDescent="0.3">
      <c r="A10" s="22">
        <v>9</v>
      </c>
      <c r="B10" s="23" t="s">
        <v>178</v>
      </c>
    </row>
    <row r="11" spans="1:2" ht="15.6" x14ac:dyDescent="0.3">
      <c r="A11" s="22">
        <v>10</v>
      </c>
      <c r="B11" s="23" t="s">
        <v>179</v>
      </c>
    </row>
    <row r="12" spans="1:2" ht="15.6" x14ac:dyDescent="0.3">
      <c r="A12" s="22">
        <v>11</v>
      </c>
      <c r="B12" s="23" t="s">
        <v>180</v>
      </c>
    </row>
    <row r="13" spans="1:2" ht="15.6" x14ac:dyDescent="0.3">
      <c r="A13" s="22">
        <v>12</v>
      </c>
      <c r="B13" s="23" t="s">
        <v>181</v>
      </c>
    </row>
    <row r="14" spans="1:2" ht="15.6" x14ac:dyDescent="0.3">
      <c r="A14" s="22">
        <v>13</v>
      </c>
      <c r="B14" s="23" t="s">
        <v>182</v>
      </c>
    </row>
    <row r="15" spans="1:2" ht="15.6" x14ac:dyDescent="0.3">
      <c r="A15" s="22">
        <v>14</v>
      </c>
      <c r="B15" s="23" t="s">
        <v>183</v>
      </c>
    </row>
    <row r="16" spans="1:2" ht="15.6" x14ac:dyDescent="0.3">
      <c r="A16" s="22">
        <v>15</v>
      </c>
      <c r="B16" s="23" t="s">
        <v>184</v>
      </c>
    </row>
    <row r="17" spans="1:2" ht="15.6" x14ac:dyDescent="0.3">
      <c r="A17" s="22">
        <v>16</v>
      </c>
      <c r="B17" s="23" t="s">
        <v>185</v>
      </c>
    </row>
    <row r="18" spans="1:2" ht="15.6" x14ac:dyDescent="0.3">
      <c r="A18" s="22">
        <v>17</v>
      </c>
      <c r="B18" s="23" t="s">
        <v>186</v>
      </c>
    </row>
    <row r="19" spans="1:2" ht="15.6" x14ac:dyDescent="0.3">
      <c r="A19" s="22">
        <v>18</v>
      </c>
      <c r="B19" s="23" t="s">
        <v>187</v>
      </c>
    </row>
    <row r="20" spans="1:2" ht="15.6" x14ac:dyDescent="0.3">
      <c r="A20" s="22">
        <v>19</v>
      </c>
      <c r="B20" s="23" t="s">
        <v>188</v>
      </c>
    </row>
    <row r="21" spans="1:2" ht="15.6" x14ac:dyDescent="0.3">
      <c r="A21" s="22">
        <v>20</v>
      </c>
      <c r="B21" s="23" t="s">
        <v>189</v>
      </c>
    </row>
    <row r="22" spans="1:2" ht="15.6" x14ac:dyDescent="0.3">
      <c r="A22" s="22">
        <v>21</v>
      </c>
      <c r="B22" s="23" t="s">
        <v>190</v>
      </c>
    </row>
    <row r="23" spans="1:2" ht="15.6" x14ac:dyDescent="0.3">
      <c r="A23" s="22">
        <v>22</v>
      </c>
      <c r="B23" s="23" t="s">
        <v>191</v>
      </c>
    </row>
    <row r="24" spans="1:2" ht="15.6" x14ac:dyDescent="0.3">
      <c r="A24" s="22">
        <v>23</v>
      </c>
      <c r="B24" s="23" t="s">
        <v>192</v>
      </c>
    </row>
    <row r="25" spans="1:2" ht="15.6" x14ac:dyDescent="0.3">
      <c r="A25" s="22">
        <v>24</v>
      </c>
      <c r="B25" s="23" t="s">
        <v>193</v>
      </c>
    </row>
    <row r="26" spans="1:2" ht="15.6" x14ac:dyDescent="0.3">
      <c r="A26" s="22">
        <v>25</v>
      </c>
      <c r="B26" s="23" t="s">
        <v>194</v>
      </c>
    </row>
    <row r="27" spans="1:2" ht="15.6" x14ac:dyDescent="0.3">
      <c r="A27" s="22">
        <v>26</v>
      </c>
      <c r="B27" s="23" t="s">
        <v>195</v>
      </c>
    </row>
    <row r="28" spans="1:2" ht="15.6" x14ac:dyDescent="0.3">
      <c r="A28" s="22">
        <v>27</v>
      </c>
      <c r="B28" s="23" t="s">
        <v>196</v>
      </c>
    </row>
    <row r="29" spans="1:2" ht="15.6" x14ac:dyDescent="0.3">
      <c r="A29" s="22">
        <v>28</v>
      </c>
      <c r="B29" s="23" t="s">
        <v>197</v>
      </c>
    </row>
    <row r="30" spans="1:2" ht="15.6" x14ac:dyDescent="0.3">
      <c r="A30" s="22">
        <v>29</v>
      </c>
      <c r="B30" s="23" t="s">
        <v>198</v>
      </c>
    </row>
    <row r="31" spans="1:2" ht="15.6" x14ac:dyDescent="0.3">
      <c r="A31" s="22">
        <v>30</v>
      </c>
      <c r="B31" s="23" t="s">
        <v>199</v>
      </c>
    </row>
    <row r="32" spans="1:2" ht="15.6" x14ac:dyDescent="0.3">
      <c r="A32" s="22">
        <v>31</v>
      </c>
      <c r="B32" s="23" t="s">
        <v>200</v>
      </c>
    </row>
    <row r="33" spans="1:2" ht="15.6" x14ac:dyDescent="0.3">
      <c r="A33" s="22">
        <v>32</v>
      </c>
      <c r="B33" s="23" t="s">
        <v>201</v>
      </c>
    </row>
    <row r="34" spans="1:2" ht="15.6" x14ac:dyDescent="0.3">
      <c r="A34" s="22">
        <v>33</v>
      </c>
      <c r="B34" s="23" t="s">
        <v>202</v>
      </c>
    </row>
    <row r="35" spans="1:2" ht="15.6" x14ac:dyDescent="0.3">
      <c r="A35" s="22">
        <v>34</v>
      </c>
      <c r="B35" s="23" t="s">
        <v>203</v>
      </c>
    </row>
    <row r="36" spans="1:2" ht="15.6" x14ac:dyDescent="0.3">
      <c r="A36" s="22">
        <v>35</v>
      </c>
      <c r="B36" s="23" t="s">
        <v>204</v>
      </c>
    </row>
    <row r="37" spans="1:2" ht="15.6" x14ac:dyDescent="0.3">
      <c r="A37" s="22">
        <v>36</v>
      </c>
      <c r="B37" s="23" t="s">
        <v>205</v>
      </c>
    </row>
    <row r="38" spans="1:2" ht="15.6" x14ac:dyDescent="0.3">
      <c r="A38" s="22">
        <v>37</v>
      </c>
      <c r="B38" s="23" t="s">
        <v>206</v>
      </c>
    </row>
    <row r="39" spans="1:2" ht="15.6" x14ac:dyDescent="0.3">
      <c r="A39" s="22">
        <v>38</v>
      </c>
      <c r="B39" s="23" t="s">
        <v>207</v>
      </c>
    </row>
    <row r="40" spans="1:2" ht="15.6" x14ac:dyDescent="0.3">
      <c r="A40" s="22">
        <v>39</v>
      </c>
      <c r="B40" s="23" t="s">
        <v>208</v>
      </c>
    </row>
    <row r="41" spans="1:2" ht="15.6" x14ac:dyDescent="0.3">
      <c r="A41" s="22">
        <v>40</v>
      </c>
      <c r="B41" s="23" t="s">
        <v>209</v>
      </c>
    </row>
    <row r="42" spans="1:2" ht="15.6" x14ac:dyDescent="0.3">
      <c r="A42" s="22">
        <v>41</v>
      </c>
      <c r="B42" s="23" t="s">
        <v>210</v>
      </c>
    </row>
    <row r="43" spans="1:2" ht="16.2" thickBot="1" x14ac:dyDescent="0.35">
      <c r="A43" s="24">
        <v>42</v>
      </c>
      <c r="B43" s="25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BFF2-C057-4FA1-A744-8A17AD2CFCB7}">
  <dimension ref="A1:B39"/>
  <sheetViews>
    <sheetView workbookViewId="0">
      <selection activeCell="D17" sqref="D17"/>
    </sheetView>
  </sheetViews>
  <sheetFormatPr defaultRowHeight="14.4" x14ac:dyDescent="0.3"/>
  <cols>
    <col min="1" max="1" width="9.33203125" customWidth="1"/>
    <col min="2" max="2" width="26.109375" bestFit="1" customWidth="1"/>
  </cols>
  <sheetData>
    <row r="1" spans="1:2" ht="15.6" x14ac:dyDescent="0.3">
      <c r="A1" s="20" t="s">
        <v>239</v>
      </c>
      <c r="B1" s="21" t="s">
        <v>240</v>
      </c>
    </row>
    <row r="2" spans="1:2" ht="15.6" x14ac:dyDescent="0.3">
      <c r="A2" s="22">
        <v>1</v>
      </c>
      <c r="B2" s="23" t="s">
        <v>214</v>
      </c>
    </row>
    <row r="3" spans="1:2" ht="15.6" x14ac:dyDescent="0.3">
      <c r="A3" s="22">
        <v>2</v>
      </c>
      <c r="B3" s="23" t="s">
        <v>281</v>
      </c>
    </row>
    <row r="4" spans="1:2" ht="15.6" x14ac:dyDescent="0.3">
      <c r="A4" s="22">
        <v>3</v>
      </c>
      <c r="B4" s="23" t="s">
        <v>215</v>
      </c>
    </row>
    <row r="5" spans="1:2" ht="15.6" x14ac:dyDescent="0.3">
      <c r="A5" s="22">
        <v>4</v>
      </c>
      <c r="B5" s="23" t="s">
        <v>216</v>
      </c>
    </row>
    <row r="6" spans="1:2" ht="15.6" x14ac:dyDescent="0.3">
      <c r="A6" s="22">
        <v>5</v>
      </c>
      <c r="B6" s="23" t="s">
        <v>217</v>
      </c>
    </row>
    <row r="7" spans="1:2" ht="15.6" x14ac:dyDescent="0.3">
      <c r="A7" s="22">
        <v>6</v>
      </c>
      <c r="B7" s="23" t="s">
        <v>218</v>
      </c>
    </row>
    <row r="8" spans="1:2" ht="15.6" x14ac:dyDescent="0.3">
      <c r="A8" s="22">
        <v>7</v>
      </c>
      <c r="B8" s="23" t="s">
        <v>282</v>
      </c>
    </row>
    <row r="9" spans="1:2" ht="15.6" x14ac:dyDescent="0.3">
      <c r="A9" s="22">
        <v>8</v>
      </c>
      <c r="B9" s="23" t="s">
        <v>219</v>
      </c>
    </row>
    <row r="10" spans="1:2" ht="15.6" x14ac:dyDescent="0.3">
      <c r="A10" s="22">
        <v>9</v>
      </c>
      <c r="B10" s="23" t="s">
        <v>220</v>
      </c>
    </row>
    <row r="11" spans="1:2" ht="15.6" x14ac:dyDescent="0.3">
      <c r="A11" s="22">
        <v>10</v>
      </c>
      <c r="B11" s="23" t="s">
        <v>221</v>
      </c>
    </row>
    <row r="12" spans="1:2" ht="15.6" x14ac:dyDescent="0.3">
      <c r="A12" s="22">
        <v>11</v>
      </c>
      <c r="B12" s="23" t="s">
        <v>283</v>
      </c>
    </row>
    <row r="13" spans="1:2" ht="15.6" x14ac:dyDescent="0.3">
      <c r="A13" s="22">
        <v>12</v>
      </c>
      <c r="B13" s="23" t="s">
        <v>284</v>
      </c>
    </row>
    <row r="14" spans="1:2" ht="15.6" x14ac:dyDescent="0.3">
      <c r="A14" s="22">
        <v>13</v>
      </c>
      <c r="B14" s="23" t="s">
        <v>222</v>
      </c>
    </row>
    <row r="15" spans="1:2" ht="15.6" x14ac:dyDescent="0.3">
      <c r="A15" s="22">
        <v>14</v>
      </c>
      <c r="B15" s="23" t="s">
        <v>285</v>
      </c>
    </row>
    <row r="16" spans="1:2" ht="15.6" x14ac:dyDescent="0.3">
      <c r="A16" s="22">
        <v>15</v>
      </c>
      <c r="B16" s="23" t="s">
        <v>223</v>
      </c>
    </row>
    <row r="17" spans="1:2" ht="15.6" x14ac:dyDescent="0.3">
      <c r="A17" s="22">
        <v>16</v>
      </c>
      <c r="B17" s="23" t="s">
        <v>286</v>
      </c>
    </row>
    <row r="18" spans="1:2" ht="15.6" x14ac:dyDescent="0.3">
      <c r="A18" s="22">
        <v>17</v>
      </c>
      <c r="B18" s="23" t="s">
        <v>224</v>
      </c>
    </row>
    <row r="19" spans="1:2" ht="15.6" x14ac:dyDescent="0.3">
      <c r="A19" s="22">
        <v>18</v>
      </c>
      <c r="B19" s="23" t="s">
        <v>225</v>
      </c>
    </row>
    <row r="20" spans="1:2" ht="15.6" x14ac:dyDescent="0.3">
      <c r="A20" s="22">
        <v>19</v>
      </c>
      <c r="B20" s="23" t="s">
        <v>226</v>
      </c>
    </row>
    <row r="21" spans="1:2" ht="15.6" x14ac:dyDescent="0.3">
      <c r="A21" s="22">
        <v>20</v>
      </c>
      <c r="B21" s="23" t="s">
        <v>227</v>
      </c>
    </row>
    <row r="22" spans="1:2" ht="15.6" x14ac:dyDescent="0.3">
      <c r="A22" s="22">
        <v>21</v>
      </c>
      <c r="B22" s="23" t="s">
        <v>228</v>
      </c>
    </row>
    <row r="23" spans="1:2" ht="15.6" x14ac:dyDescent="0.3">
      <c r="A23" s="22">
        <v>22</v>
      </c>
      <c r="B23" s="23" t="s">
        <v>229</v>
      </c>
    </row>
    <row r="24" spans="1:2" ht="15.6" x14ac:dyDescent="0.3">
      <c r="A24" s="22">
        <v>23</v>
      </c>
      <c r="B24" s="23" t="s">
        <v>230</v>
      </c>
    </row>
    <row r="25" spans="1:2" ht="15.6" x14ac:dyDescent="0.3">
      <c r="A25" s="22">
        <v>24</v>
      </c>
      <c r="B25" s="23" t="s">
        <v>231</v>
      </c>
    </row>
    <row r="26" spans="1:2" ht="15.6" x14ac:dyDescent="0.3">
      <c r="A26" s="22">
        <v>25</v>
      </c>
      <c r="B26" s="23" t="s">
        <v>290</v>
      </c>
    </row>
    <row r="27" spans="1:2" ht="15.6" x14ac:dyDescent="0.3">
      <c r="A27" s="22">
        <v>26</v>
      </c>
      <c r="B27" s="23" t="s">
        <v>291</v>
      </c>
    </row>
    <row r="28" spans="1:2" ht="15.6" x14ac:dyDescent="0.3">
      <c r="A28" s="22">
        <v>27</v>
      </c>
      <c r="B28" s="23" t="s">
        <v>289</v>
      </c>
    </row>
    <row r="29" spans="1:2" ht="15.6" x14ac:dyDescent="0.3">
      <c r="A29" s="22">
        <v>28</v>
      </c>
      <c r="B29" s="23" t="s">
        <v>232</v>
      </c>
    </row>
    <row r="30" spans="1:2" ht="15.6" x14ac:dyDescent="0.3">
      <c r="A30" s="22">
        <v>29</v>
      </c>
      <c r="B30" s="23" t="s">
        <v>233</v>
      </c>
    </row>
    <row r="31" spans="1:2" ht="15.6" x14ac:dyDescent="0.3">
      <c r="A31" s="22">
        <v>30</v>
      </c>
      <c r="B31" s="23" t="s">
        <v>292</v>
      </c>
    </row>
    <row r="32" spans="1:2" ht="15.6" x14ac:dyDescent="0.3">
      <c r="A32" s="22">
        <v>31</v>
      </c>
      <c r="B32" s="23" t="s">
        <v>293</v>
      </c>
    </row>
    <row r="33" spans="1:2" ht="15.6" x14ac:dyDescent="0.3">
      <c r="A33" s="22">
        <v>32</v>
      </c>
      <c r="B33" s="23" t="s">
        <v>234</v>
      </c>
    </row>
    <row r="34" spans="1:2" ht="15.6" x14ac:dyDescent="0.3">
      <c r="A34" s="22">
        <v>33</v>
      </c>
      <c r="B34" s="23" t="s">
        <v>235</v>
      </c>
    </row>
    <row r="35" spans="1:2" ht="15.6" x14ac:dyDescent="0.3">
      <c r="A35" s="22">
        <v>34</v>
      </c>
      <c r="B35" s="23" t="s">
        <v>288</v>
      </c>
    </row>
    <row r="36" spans="1:2" ht="15.6" x14ac:dyDescent="0.3">
      <c r="A36" s="22">
        <v>35</v>
      </c>
      <c r="B36" s="23" t="s">
        <v>236</v>
      </c>
    </row>
    <row r="37" spans="1:2" ht="15.6" x14ac:dyDescent="0.3">
      <c r="A37" s="22">
        <v>36</v>
      </c>
      <c r="B37" s="23" t="s">
        <v>287</v>
      </c>
    </row>
    <row r="38" spans="1:2" ht="15.6" x14ac:dyDescent="0.3">
      <c r="A38" s="22">
        <v>37</v>
      </c>
      <c r="B38" s="23" t="s">
        <v>237</v>
      </c>
    </row>
    <row r="39" spans="1:2" ht="16.2" thickBot="1" x14ac:dyDescent="0.35">
      <c r="A39" s="24">
        <v>38</v>
      </c>
      <c r="B39" s="25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D9F3-4A0D-4A0A-89EB-4EFBC1532041}">
  <dimension ref="A1:B41"/>
  <sheetViews>
    <sheetView workbookViewId="0">
      <selection activeCell="F17" sqref="F17"/>
    </sheetView>
  </sheetViews>
  <sheetFormatPr defaultRowHeight="14.4" x14ac:dyDescent="0.3"/>
  <cols>
    <col min="1" max="1" width="9.88671875" customWidth="1"/>
    <col min="2" max="2" width="38" bestFit="1" customWidth="1"/>
  </cols>
  <sheetData>
    <row r="1" spans="1:2" ht="15.6" x14ac:dyDescent="0.3">
      <c r="A1" s="20" t="s">
        <v>306</v>
      </c>
      <c r="B1" s="21" t="s">
        <v>307</v>
      </c>
    </row>
    <row r="2" spans="1:2" ht="15.6" x14ac:dyDescent="0.3">
      <c r="A2" s="22">
        <v>1</v>
      </c>
      <c r="B2" s="26" t="s">
        <v>241</v>
      </c>
    </row>
    <row r="3" spans="1:2" ht="15.6" x14ac:dyDescent="0.3">
      <c r="A3" s="22">
        <v>2</v>
      </c>
      <c r="B3" s="26" t="s">
        <v>242</v>
      </c>
    </row>
    <row r="4" spans="1:2" ht="15.6" x14ac:dyDescent="0.3">
      <c r="A4" s="22">
        <v>3</v>
      </c>
      <c r="B4" s="26" t="s">
        <v>243</v>
      </c>
    </row>
    <row r="5" spans="1:2" ht="15.6" x14ac:dyDescent="0.3">
      <c r="A5" s="22">
        <v>4</v>
      </c>
      <c r="B5" s="26" t="s">
        <v>244</v>
      </c>
    </row>
    <row r="6" spans="1:2" ht="15.6" x14ac:dyDescent="0.3">
      <c r="A6" s="22">
        <v>5</v>
      </c>
      <c r="B6" s="26" t="s">
        <v>245</v>
      </c>
    </row>
    <row r="7" spans="1:2" ht="15.6" x14ac:dyDescent="0.3">
      <c r="A7" s="22">
        <v>6</v>
      </c>
      <c r="B7" s="26" t="s">
        <v>246</v>
      </c>
    </row>
    <row r="8" spans="1:2" ht="15.6" x14ac:dyDescent="0.3">
      <c r="A8" s="22">
        <v>7</v>
      </c>
      <c r="B8" s="26" t="s">
        <v>247</v>
      </c>
    </row>
    <row r="9" spans="1:2" ht="15.6" x14ac:dyDescent="0.3">
      <c r="A9" s="22">
        <v>8</v>
      </c>
      <c r="B9" s="26" t="s">
        <v>248</v>
      </c>
    </row>
    <row r="10" spans="1:2" ht="15.6" x14ac:dyDescent="0.3">
      <c r="A10" s="22">
        <v>9</v>
      </c>
      <c r="B10" s="26" t="s">
        <v>249</v>
      </c>
    </row>
    <row r="11" spans="1:2" ht="15.6" x14ac:dyDescent="0.3">
      <c r="A11" s="22">
        <v>10</v>
      </c>
      <c r="B11" s="26" t="s">
        <v>250</v>
      </c>
    </row>
    <row r="12" spans="1:2" ht="15.6" x14ac:dyDescent="0.3">
      <c r="A12" s="22">
        <v>11</v>
      </c>
      <c r="B12" s="26" t="s">
        <v>251</v>
      </c>
    </row>
    <row r="13" spans="1:2" ht="15.6" x14ac:dyDescent="0.3">
      <c r="A13" s="22">
        <v>12</v>
      </c>
      <c r="B13" s="26" t="s">
        <v>252</v>
      </c>
    </row>
    <row r="14" spans="1:2" ht="15.6" x14ac:dyDescent="0.3">
      <c r="A14" s="22">
        <v>13</v>
      </c>
      <c r="B14" s="26" t="s">
        <v>253</v>
      </c>
    </row>
    <row r="15" spans="1:2" ht="15.6" x14ac:dyDescent="0.3">
      <c r="A15" s="22">
        <v>14</v>
      </c>
      <c r="B15" s="26" t="s">
        <v>254</v>
      </c>
    </row>
    <row r="16" spans="1:2" ht="15.6" x14ac:dyDescent="0.3">
      <c r="A16" s="22">
        <v>15</v>
      </c>
      <c r="B16" s="26" t="s">
        <v>255</v>
      </c>
    </row>
    <row r="17" spans="1:2" ht="15.6" x14ac:dyDescent="0.3">
      <c r="A17" s="22">
        <v>16</v>
      </c>
      <c r="B17" s="26" t="s">
        <v>256</v>
      </c>
    </row>
    <row r="18" spans="1:2" ht="15.6" x14ac:dyDescent="0.3">
      <c r="A18" s="22">
        <v>17</v>
      </c>
      <c r="B18" s="26" t="s">
        <v>257</v>
      </c>
    </row>
    <row r="19" spans="1:2" ht="15.6" x14ac:dyDescent="0.3">
      <c r="A19" s="22">
        <v>18</v>
      </c>
      <c r="B19" s="26" t="s">
        <v>258</v>
      </c>
    </row>
    <row r="20" spans="1:2" ht="15.6" x14ac:dyDescent="0.3">
      <c r="A20" s="22">
        <v>19</v>
      </c>
      <c r="B20" s="26" t="s">
        <v>259</v>
      </c>
    </row>
    <row r="21" spans="1:2" ht="15.6" x14ac:dyDescent="0.3">
      <c r="A21" s="22">
        <v>20</v>
      </c>
      <c r="B21" s="26" t="s">
        <v>260</v>
      </c>
    </row>
    <row r="22" spans="1:2" ht="15.6" x14ac:dyDescent="0.3">
      <c r="A22" s="22">
        <v>21</v>
      </c>
      <c r="B22" s="26" t="s">
        <v>261</v>
      </c>
    </row>
    <row r="23" spans="1:2" ht="15.6" x14ac:dyDescent="0.3">
      <c r="A23" s="22">
        <v>22</v>
      </c>
      <c r="B23" s="26" t="s">
        <v>262</v>
      </c>
    </row>
    <row r="24" spans="1:2" ht="15.6" x14ac:dyDescent="0.3">
      <c r="A24" s="22">
        <v>23</v>
      </c>
      <c r="B24" s="26" t="s">
        <v>263</v>
      </c>
    </row>
    <row r="25" spans="1:2" ht="15.6" x14ac:dyDescent="0.3">
      <c r="A25" s="22">
        <v>24</v>
      </c>
      <c r="B25" s="26" t="s">
        <v>264</v>
      </c>
    </row>
    <row r="26" spans="1:2" ht="15.6" x14ac:dyDescent="0.3">
      <c r="A26" s="22">
        <v>25</v>
      </c>
      <c r="B26" s="26" t="s">
        <v>265</v>
      </c>
    </row>
    <row r="27" spans="1:2" ht="15.6" x14ac:dyDescent="0.3">
      <c r="A27" s="22">
        <v>26</v>
      </c>
      <c r="B27" s="26" t="s">
        <v>266</v>
      </c>
    </row>
    <row r="28" spans="1:2" ht="15.6" x14ac:dyDescent="0.3">
      <c r="A28" s="22">
        <v>27</v>
      </c>
      <c r="B28" s="26" t="s">
        <v>267</v>
      </c>
    </row>
    <row r="29" spans="1:2" ht="15.6" x14ac:dyDescent="0.3">
      <c r="A29" s="22">
        <v>28</v>
      </c>
      <c r="B29" s="26" t="s">
        <v>268</v>
      </c>
    </row>
    <row r="30" spans="1:2" ht="15.6" x14ac:dyDescent="0.3">
      <c r="A30" s="22">
        <v>29</v>
      </c>
      <c r="B30" s="26" t="s">
        <v>269</v>
      </c>
    </row>
    <row r="31" spans="1:2" ht="15.6" x14ac:dyDescent="0.3">
      <c r="A31" s="22">
        <v>30</v>
      </c>
      <c r="B31" s="26" t="s">
        <v>270</v>
      </c>
    </row>
    <row r="32" spans="1:2" ht="15.6" x14ac:dyDescent="0.3">
      <c r="A32" s="22">
        <v>31</v>
      </c>
      <c r="B32" s="26" t="s">
        <v>271</v>
      </c>
    </row>
    <row r="33" spans="1:2" ht="15.6" x14ac:dyDescent="0.3">
      <c r="A33" s="22">
        <v>32</v>
      </c>
      <c r="B33" s="26" t="s">
        <v>272</v>
      </c>
    </row>
    <row r="34" spans="1:2" ht="15.6" x14ac:dyDescent="0.3">
      <c r="A34" s="22">
        <v>33</v>
      </c>
      <c r="B34" s="26" t="s">
        <v>273</v>
      </c>
    </row>
    <row r="35" spans="1:2" ht="15.6" x14ac:dyDescent="0.3">
      <c r="A35" s="22">
        <v>34</v>
      </c>
      <c r="B35" s="26" t="s">
        <v>274</v>
      </c>
    </row>
    <row r="36" spans="1:2" ht="15.6" x14ac:dyDescent="0.3">
      <c r="A36" s="22">
        <v>35</v>
      </c>
      <c r="B36" s="26" t="s">
        <v>275</v>
      </c>
    </row>
    <row r="37" spans="1:2" ht="15.6" x14ac:dyDescent="0.3">
      <c r="A37" s="22">
        <v>36</v>
      </c>
      <c r="B37" s="26" t="s">
        <v>276</v>
      </c>
    </row>
    <row r="38" spans="1:2" ht="15.6" x14ac:dyDescent="0.3">
      <c r="A38" s="22">
        <v>37</v>
      </c>
      <c r="B38" s="26" t="s">
        <v>277</v>
      </c>
    </row>
    <row r="39" spans="1:2" ht="15.6" x14ac:dyDescent="0.3">
      <c r="A39" s="22">
        <v>38</v>
      </c>
      <c r="B39" s="26" t="s">
        <v>278</v>
      </c>
    </row>
    <row r="40" spans="1:2" ht="15.6" x14ac:dyDescent="0.3">
      <c r="A40" s="22">
        <v>39</v>
      </c>
      <c r="B40" s="26" t="s">
        <v>279</v>
      </c>
    </row>
    <row r="41" spans="1:2" ht="16.2" thickBot="1" x14ac:dyDescent="0.35">
      <c r="A41" s="24">
        <v>40</v>
      </c>
      <c r="B41" s="27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E5B8-A339-45EB-83C4-87FF7340267F}">
  <dimension ref="A1:B13"/>
  <sheetViews>
    <sheetView workbookViewId="0">
      <selection activeCell="C14" sqref="C14"/>
    </sheetView>
  </sheetViews>
  <sheetFormatPr defaultRowHeight="14.4" x14ac:dyDescent="0.3"/>
  <cols>
    <col min="1" max="1" width="7" bestFit="1" customWidth="1"/>
    <col min="2" max="2" width="26" bestFit="1" customWidth="1"/>
  </cols>
  <sheetData>
    <row r="1" spans="1:2" x14ac:dyDescent="0.3">
      <c r="A1" t="s">
        <v>308</v>
      </c>
      <c r="B1" t="s">
        <v>309</v>
      </c>
    </row>
    <row r="2" spans="1:2" x14ac:dyDescent="0.3">
      <c r="A2">
        <v>1</v>
      </c>
      <c r="B2" t="s">
        <v>303</v>
      </c>
    </row>
    <row r="3" spans="1:2" x14ac:dyDescent="0.3">
      <c r="A3">
        <v>2</v>
      </c>
      <c r="B3" t="s">
        <v>304</v>
      </c>
    </row>
    <row r="4" spans="1:2" x14ac:dyDescent="0.3">
      <c r="A4">
        <v>3</v>
      </c>
      <c r="B4" t="s">
        <v>305</v>
      </c>
    </row>
    <row r="5" spans="1:2" x14ac:dyDescent="0.3">
      <c r="A5">
        <v>4</v>
      </c>
      <c r="B5" t="s">
        <v>294</v>
      </c>
    </row>
    <row r="6" spans="1:2" x14ac:dyDescent="0.3">
      <c r="A6">
        <v>5</v>
      </c>
      <c r="B6" t="s">
        <v>295</v>
      </c>
    </row>
    <row r="7" spans="1:2" x14ac:dyDescent="0.3">
      <c r="A7">
        <v>6</v>
      </c>
      <c r="B7" t="s">
        <v>296</v>
      </c>
    </row>
    <row r="8" spans="1:2" x14ac:dyDescent="0.3">
      <c r="A8">
        <v>7</v>
      </c>
      <c r="B8" t="s">
        <v>297</v>
      </c>
    </row>
    <row r="9" spans="1:2" x14ac:dyDescent="0.3">
      <c r="A9">
        <v>8</v>
      </c>
      <c r="B9" t="s">
        <v>298</v>
      </c>
    </row>
    <row r="10" spans="1:2" x14ac:dyDescent="0.3">
      <c r="A10">
        <v>9</v>
      </c>
      <c r="B10" t="s">
        <v>299</v>
      </c>
    </row>
    <row r="11" spans="1:2" x14ac:dyDescent="0.3">
      <c r="A11">
        <v>10</v>
      </c>
      <c r="B11" t="s">
        <v>300</v>
      </c>
    </row>
    <row r="12" spans="1:2" x14ac:dyDescent="0.3">
      <c r="A12">
        <v>11</v>
      </c>
      <c r="B12" t="s">
        <v>301</v>
      </c>
    </row>
    <row r="13" spans="1:2" x14ac:dyDescent="0.3">
      <c r="A13">
        <v>12</v>
      </c>
      <c r="B13" t="s">
        <v>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D539-4ECE-4EB9-ACF1-A2BBA948585B}">
  <dimension ref="A1:B10"/>
  <sheetViews>
    <sheetView workbookViewId="0">
      <selection activeCell="I21" sqref="I21"/>
    </sheetView>
  </sheetViews>
  <sheetFormatPr defaultRowHeight="14.4" x14ac:dyDescent="0.3"/>
  <cols>
    <col min="2" max="2" width="21" bestFit="1" customWidth="1"/>
  </cols>
  <sheetData>
    <row r="1" spans="1:2" x14ac:dyDescent="0.3">
      <c r="A1" t="s">
        <v>88</v>
      </c>
      <c r="B1" t="s">
        <v>131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132</v>
      </c>
    </row>
    <row r="5" spans="1:2" x14ac:dyDescent="0.3">
      <c r="A5">
        <v>4</v>
      </c>
      <c r="B5" t="s">
        <v>69</v>
      </c>
    </row>
    <row r="6" spans="1:2" x14ac:dyDescent="0.3">
      <c r="A6">
        <v>5</v>
      </c>
      <c r="B6" t="s">
        <v>133</v>
      </c>
    </row>
    <row r="7" spans="1:2" x14ac:dyDescent="0.3">
      <c r="A7">
        <v>6</v>
      </c>
      <c r="B7" t="s">
        <v>134</v>
      </c>
    </row>
    <row r="8" spans="1:2" x14ac:dyDescent="0.3">
      <c r="A8">
        <v>7</v>
      </c>
      <c r="B8" t="s">
        <v>12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2E44-E2FF-4DCC-97E6-0B51E5C1139E}">
  <dimension ref="A1:J66"/>
  <sheetViews>
    <sheetView workbookViewId="0">
      <selection activeCell="G5" sqref="G5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36.5546875" bestFit="1" customWidth="1"/>
    <col min="4" max="4" width="11.33203125" bestFit="1" customWidth="1"/>
    <col min="5" max="5" width="10.6640625" customWidth="1"/>
    <col min="6" max="6" width="21" bestFit="1" customWidth="1"/>
    <col min="7" max="7" width="28.44140625" bestFit="1" customWidth="1"/>
    <col min="8" max="8" width="11.44140625" bestFit="1" customWidth="1"/>
    <col min="9" max="9" width="9.109375" bestFit="1" customWidth="1"/>
    <col min="10" max="10" width="10.77734375" bestFit="1" customWidth="1"/>
  </cols>
  <sheetData>
    <row r="1" spans="1:10" x14ac:dyDescent="0.3">
      <c r="A1" t="s">
        <v>136</v>
      </c>
      <c r="B1" t="s">
        <v>127</v>
      </c>
      <c r="C1" t="s">
        <v>310</v>
      </c>
      <c r="D1" t="s">
        <v>137</v>
      </c>
      <c r="E1" t="s">
        <v>88</v>
      </c>
      <c r="F1" t="s">
        <v>169</v>
      </c>
      <c r="G1" t="s">
        <v>138</v>
      </c>
      <c r="H1" t="s">
        <v>139</v>
      </c>
      <c r="I1" t="s">
        <v>140</v>
      </c>
      <c r="J1" t="s">
        <v>141</v>
      </c>
    </row>
    <row r="2" spans="1:10" x14ac:dyDescent="0.3">
      <c r="A2">
        <v>1</v>
      </c>
      <c r="B2">
        <v>1</v>
      </c>
      <c r="C2" t="str">
        <f>VLOOKUP(B2,REQ_CATEGORY!$A$1:$B$12,2,FALSE)</f>
        <v>Stationary</v>
      </c>
      <c r="D2">
        <v>1</v>
      </c>
      <c r="E2">
        <v>1</v>
      </c>
      <c r="F2" t="str">
        <f>VLOOKUP(E2,REQ_ROLE!$A$1:$B$10,2,FALSE)</f>
        <v>Employee</v>
      </c>
      <c r="G2" t="s">
        <v>6</v>
      </c>
      <c r="H2" t="s">
        <v>142</v>
      </c>
      <c r="I2" t="s">
        <v>142</v>
      </c>
      <c r="J2">
        <v>1</v>
      </c>
    </row>
    <row r="3" spans="1:10" x14ac:dyDescent="0.3">
      <c r="A3">
        <v>2</v>
      </c>
      <c r="B3">
        <v>1</v>
      </c>
      <c r="C3" t="str">
        <f>VLOOKUP(B3,REQ_CATEGORY!$A$1:$B$12,2,FALSE)</f>
        <v>Stationary</v>
      </c>
      <c r="D3">
        <v>2</v>
      </c>
      <c r="E3">
        <v>2</v>
      </c>
      <c r="F3" t="str">
        <f>VLOOKUP(E3,REQ_ROLE!$A$1:$B$10,2,FALSE)</f>
        <v>HOD</v>
      </c>
      <c r="G3" t="s">
        <v>143</v>
      </c>
      <c r="H3" t="s">
        <v>142</v>
      </c>
      <c r="I3" t="s">
        <v>142</v>
      </c>
      <c r="J3">
        <v>1</v>
      </c>
    </row>
    <row r="4" spans="1:10" x14ac:dyDescent="0.3">
      <c r="A4">
        <v>3</v>
      </c>
      <c r="B4">
        <v>1</v>
      </c>
      <c r="C4" t="str">
        <f>VLOOKUP(B4,REQ_CATEGORY!$A$1:$B$12,2,FALSE)</f>
        <v>Stationary</v>
      </c>
      <c r="D4">
        <v>3</v>
      </c>
      <c r="E4">
        <v>6</v>
      </c>
      <c r="F4" t="str">
        <f>VLOOKUP(E4,REQ_ROLE!$A$1:$B$10,2,FALSE)</f>
        <v>Department Admin</v>
      </c>
      <c r="G4" t="s">
        <v>4</v>
      </c>
      <c r="H4" t="s">
        <v>142</v>
      </c>
      <c r="I4" t="s">
        <v>142</v>
      </c>
      <c r="J4">
        <v>1</v>
      </c>
    </row>
    <row r="5" spans="1:10" x14ac:dyDescent="0.3">
      <c r="A5">
        <v>4</v>
      </c>
      <c r="B5">
        <v>1</v>
      </c>
      <c r="C5" t="str">
        <f>VLOOKUP(B5,REQ_CATEGORY!$A$1:$B$12,2,FALSE)</f>
        <v>Stationary</v>
      </c>
      <c r="D5">
        <v>4</v>
      </c>
      <c r="E5">
        <v>9</v>
      </c>
      <c r="F5" t="str">
        <f>VLOOKUP(E5,REQ_ROLE!$A$1:$B$10,2,FALSE)</f>
        <v>Execution Team</v>
      </c>
      <c r="G5" t="s">
        <v>144</v>
      </c>
      <c r="H5" t="s">
        <v>142</v>
      </c>
      <c r="I5" t="s">
        <v>142</v>
      </c>
      <c r="J5">
        <v>1</v>
      </c>
    </row>
    <row r="6" spans="1:10" x14ac:dyDescent="0.3">
      <c r="A6">
        <v>5</v>
      </c>
      <c r="B6">
        <v>2</v>
      </c>
      <c r="C6" t="str">
        <f>VLOOKUP(B6,REQ_CATEGORY!$A$1:$B$12,2,FALSE)</f>
        <v>Vehicle Maintenance</v>
      </c>
      <c r="D6">
        <v>1</v>
      </c>
      <c r="E6">
        <v>1</v>
      </c>
      <c r="F6" t="str">
        <f>VLOOKUP(E6,REQ_ROLE!$A$1:$B$10,2,FALSE)</f>
        <v>Employee</v>
      </c>
      <c r="G6" t="s">
        <v>6</v>
      </c>
      <c r="H6" t="s">
        <v>142</v>
      </c>
      <c r="I6" t="s">
        <v>142</v>
      </c>
      <c r="J6">
        <v>1</v>
      </c>
    </row>
    <row r="7" spans="1:10" x14ac:dyDescent="0.3">
      <c r="A7">
        <v>6</v>
      </c>
      <c r="B7">
        <v>2</v>
      </c>
      <c r="C7" t="str">
        <f>VLOOKUP(B7,REQ_CATEGORY!$A$1:$B$12,2,FALSE)</f>
        <v>Vehicle Maintenance</v>
      </c>
      <c r="D7">
        <v>2</v>
      </c>
      <c r="E7">
        <v>2</v>
      </c>
      <c r="F7" t="str">
        <f>VLOOKUP(E7,REQ_ROLE!$A$1:$B$10,2,FALSE)</f>
        <v>HOD</v>
      </c>
      <c r="G7" t="s">
        <v>143</v>
      </c>
      <c r="H7" t="s">
        <v>142</v>
      </c>
      <c r="I7" t="s">
        <v>142</v>
      </c>
      <c r="J7">
        <v>1</v>
      </c>
    </row>
    <row r="8" spans="1:10" x14ac:dyDescent="0.3">
      <c r="A8">
        <v>7</v>
      </c>
      <c r="B8">
        <v>2</v>
      </c>
      <c r="C8" t="str">
        <f>VLOOKUP(B8,REQ_CATEGORY!$A$1:$B$12,2,FALSE)</f>
        <v>Vehicle Maintenance</v>
      </c>
      <c r="D8">
        <v>3</v>
      </c>
      <c r="E8">
        <v>6</v>
      </c>
      <c r="F8" t="str">
        <f>VLOOKUP(E8,REQ_ROLE!$A$1:$B$10,2,FALSE)</f>
        <v>Department Admin</v>
      </c>
      <c r="G8" t="s">
        <v>4</v>
      </c>
      <c r="H8" t="s">
        <v>142</v>
      </c>
      <c r="I8" t="s">
        <v>142</v>
      </c>
      <c r="J8">
        <v>1</v>
      </c>
    </row>
    <row r="9" spans="1:10" x14ac:dyDescent="0.3">
      <c r="A9">
        <v>8</v>
      </c>
      <c r="B9">
        <v>2</v>
      </c>
      <c r="C9" t="str">
        <f>VLOOKUP(B9,REQ_CATEGORY!$A$1:$B$12,2,FALSE)</f>
        <v>Vehicle Maintenance</v>
      </c>
      <c r="D9">
        <v>4</v>
      </c>
      <c r="E9">
        <v>9</v>
      </c>
      <c r="F9" t="str">
        <f>VLOOKUP(E9,REQ_ROLE!$A$1:$B$10,2,FALSE)</f>
        <v>Execution Team</v>
      </c>
      <c r="G9" t="s">
        <v>144</v>
      </c>
      <c r="H9" t="s">
        <v>142</v>
      </c>
      <c r="I9" t="s">
        <v>142</v>
      </c>
      <c r="J9">
        <v>1</v>
      </c>
    </row>
    <row r="10" spans="1:10" x14ac:dyDescent="0.3">
      <c r="A10">
        <v>9</v>
      </c>
      <c r="B10">
        <v>3</v>
      </c>
      <c r="C10" t="str">
        <f>VLOOKUP(B10,REQ_CATEGORY!$A$1:$B$12,2,FALSE)</f>
        <v>Vehicle Repair</v>
      </c>
      <c r="D10">
        <v>1</v>
      </c>
      <c r="E10">
        <v>1</v>
      </c>
      <c r="F10" t="str">
        <f>VLOOKUP(E10,REQ_ROLE!$A$1:$B$10,2,FALSE)</f>
        <v>Employee</v>
      </c>
      <c r="G10" t="s">
        <v>6</v>
      </c>
      <c r="H10" t="s">
        <v>142</v>
      </c>
      <c r="I10" t="s">
        <v>142</v>
      </c>
      <c r="J10">
        <v>1</v>
      </c>
    </row>
    <row r="11" spans="1:10" x14ac:dyDescent="0.3">
      <c r="A11">
        <v>10</v>
      </c>
      <c r="B11">
        <v>3</v>
      </c>
      <c r="C11" t="str">
        <f>VLOOKUP(B11,REQ_CATEGORY!$A$1:$B$12,2,FALSE)</f>
        <v>Vehicle Repair</v>
      </c>
      <c r="D11">
        <v>2</v>
      </c>
      <c r="E11">
        <v>2</v>
      </c>
      <c r="F11" t="str">
        <f>VLOOKUP(E11,REQ_ROLE!$A$1:$B$10,2,FALSE)</f>
        <v>HOD</v>
      </c>
      <c r="G11" t="s">
        <v>143</v>
      </c>
      <c r="H11" t="s">
        <v>142</v>
      </c>
      <c r="I11" t="s">
        <v>142</v>
      </c>
      <c r="J11">
        <v>1</v>
      </c>
    </row>
    <row r="12" spans="1:10" x14ac:dyDescent="0.3">
      <c r="A12">
        <v>11</v>
      </c>
      <c r="B12">
        <v>3</v>
      </c>
      <c r="C12" t="str">
        <f>VLOOKUP(B12,REQ_CATEGORY!$A$1:$B$12,2,FALSE)</f>
        <v>Vehicle Repair</v>
      </c>
      <c r="D12">
        <v>3</v>
      </c>
      <c r="E12">
        <v>5</v>
      </c>
      <c r="F12" t="str">
        <f>VLOOKUP(E12,REQ_ROLE!$A$1:$B$10,2,FALSE)</f>
        <v>Procurement Committee</v>
      </c>
      <c r="G12" t="s">
        <v>22</v>
      </c>
      <c r="H12" t="s">
        <v>142</v>
      </c>
      <c r="I12" t="s">
        <v>142</v>
      </c>
      <c r="J12">
        <v>1</v>
      </c>
    </row>
    <row r="13" spans="1:10" x14ac:dyDescent="0.3">
      <c r="A13">
        <v>12</v>
      </c>
      <c r="B13">
        <v>3</v>
      </c>
      <c r="C13" t="str">
        <f>VLOOKUP(B13,REQ_CATEGORY!$A$1:$B$12,2,FALSE)</f>
        <v>Vehicle Repair</v>
      </c>
      <c r="D13">
        <v>4</v>
      </c>
      <c r="E13">
        <v>6</v>
      </c>
      <c r="F13" t="str">
        <f>VLOOKUP(E13,REQ_ROLE!$A$1:$B$10,2,FALSE)</f>
        <v>Department Admin</v>
      </c>
      <c r="G13" t="s">
        <v>4</v>
      </c>
      <c r="H13" t="s">
        <v>142</v>
      </c>
      <c r="I13" t="s">
        <v>142</v>
      </c>
      <c r="J13">
        <v>1</v>
      </c>
    </row>
    <row r="14" spans="1:10" x14ac:dyDescent="0.3">
      <c r="A14">
        <v>13</v>
      </c>
      <c r="B14">
        <v>3</v>
      </c>
      <c r="C14" t="str">
        <f>VLOOKUP(B14,REQ_CATEGORY!$A$1:$B$12,2,FALSE)</f>
        <v>Vehicle Repair</v>
      </c>
      <c r="D14">
        <v>5</v>
      </c>
      <c r="E14">
        <v>7</v>
      </c>
      <c r="F14" t="str">
        <f>VLOOKUP(E14,REQ_ROLE!$A$1:$B$10,2,FALSE)</f>
        <v>Procurement Team</v>
      </c>
      <c r="G14" t="s">
        <v>13</v>
      </c>
      <c r="H14" t="s">
        <v>142</v>
      </c>
      <c r="I14" t="s">
        <v>142</v>
      </c>
      <c r="J14">
        <v>1</v>
      </c>
    </row>
    <row r="15" spans="1:10" x14ac:dyDescent="0.3">
      <c r="A15">
        <v>14</v>
      </c>
      <c r="B15">
        <v>3</v>
      </c>
      <c r="C15" t="str">
        <f>VLOOKUP(B15,REQ_CATEGORY!$A$1:$B$12,2,FALSE)</f>
        <v>Vehicle Repair</v>
      </c>
      <c r="D15">
        <v>6</v>
      </c>
      <c r="E15">
        <v>5</v>
      </c>
      <c r="F15" t="str">
        <f>VLOOKUP(E15,REQ_ROLE!$A$1:$B$10,2,FALSE)</f>
        <v>Procurement Committee</v>
      </c>
      <c r="G15" t="s">
        <v>22</v>
      </c>
      <c r="H15" t="s">
        <v>142</v>
      </c>
      <c r="I15" t="s">
        <v>142</v>
      </c>
      <c r="J15">
        <v>1</v>
      </c>
    </row>
    <row r="16" spans="1:10" x14ac:dyDescent="0.3">
      <c r="A16">
        <v>15</v>
      </c>
      <c r="B16">
        <v>3</v>
      </c>
      <c r="C16" t="str">
        <f>VLOOKUP(B16,REQ_CATEGORY!$A$1:$B$12,2,FALSE)</f>
        <v>Vehicle Repair</v>
      </c>
      <c r="D16">
        <v>7</v>
      </c>
      <c r="E16">
        <v>8</v>
      </c>
      <c r="F16" t="str">
        <f>VLOOKUP(E16,REQ_ROLE!$A$1:$B$10,2,FALSE)</f>
        <v>CEO</v>
      </c>
      <c r="G16" t="s">
        <v>21</v>
      </c>
      <c r="H16" t="s">
        <v>142</v>
      </c>
      <c r="I16" t="s">
        <v>142</v>
      </c>
      <c r="J16">
        <v>1</v>
      </c>
    </row>
    <row r="17" spans="1:10" x14ac:dyDescent="0.3">
      <c r="A17">
        <v>16</v>
      </c>
      <c r="B17">
        <v>3</v>
      </c>
      <c r="C17" t="str">
        <f>VLOOKUP(B17,REQ_CATEGORY!$A$1:$B$12,2,FALSE)</f>
        <v>Vehicle Repair</v>
      </c>
      <c r="D17">
        <v>8</v>
      </c>
      <c r="E17">
        <v>9</v>
      </c>
      <c r="F17" t="str">
        <f>VLOOKUP(E17,REQ_ROLE!$A$1:$B$10,2,FALSE)</f>
        <v>Execution Team</v>
      </c>
      <c r="G17" t="s">
        <v>144</v>
      </c>
      <c r="H17" t="s">
        <v>142</v>
      </c>
      <c r="I17" t="s">
        <v>142</v>
      </c>
      <c r="J17">
        <v>1</v>
      </c>
    </row>
    <row r="18" spans="1:10" x14ac:dyDescent="0.3">
      <c r="A18">
        <v>17</v>
      </c>
      <c r="B18">
        <v>4</v>
      </c>
      <c r="C18" t="str">
        <f>VLOOKUP(B18,REQ_CATEGORY!$A$1:$B$12,2,FALSE)</f>
        <v>Other Repair &amp; Maintenance</v>
      </c>
      <c r="D18">
        <v>1</v>
      </c>
      <c r="E18">
        <v>1</v>
      </c>
      <c r="F18" t="str">
        <f>VLOOKUP(E18,REQ_ROLE!$A$1:$B$10,2,FALSE)</f>
        <v>Employee</v>
      </c>
      <c r="G18" t="s">
        <v>6</v>
      </c>
      <c r="H18" t="s">
        <v>142</v>
      </c>
      <c r="I18" t="s">
        <v>142</v>
      </c>
      <c r="J18">
        <v>1</v>
      </c>
    </row>
    <row r="19" spans="1:10" x14ac:dyDescent="0.3">
      <c r="A19">
        <v>18</v>
      </c>
      <c r="B19">
        <v>4</v>
      </c>
      <c r="C19" t="str">
        <f>VLOOKUP(B19,REQ_CATEGORY!$A$1:$B$12,2,FALSE)</f>
        <v>Other Repair &amp; Maintenance</v>
      </c>
      <c r="D19">
        <v>2</v>
      </c>
      <c r="E19">
        <v>2</v>
      </c>
      <c r="F19" t="str">
        <f>VLOOKUP(E19,REQ_ROLE!$A$1:$B$10,2,FALSE)</f>
        <v>HOD</v>
      </c>
      <c r="G19" t="s">
        <v>143</v>
      </c>
      <c r="H19" t="s">
        <v>142</v>
      </c>
      <c r="I19" t="s">
        <v>142</v>
      </c>
      <c r="J19">
        <v>1</v>
      </c>
    </row>
    <row r="20" spans="1:10" x14ac:dyDescent="0.3">
      <c r="A20">
        <v>19</v>
      </c>
      <c r="B20">
        <v>4</v>
      </c>
      <c r="C20" t="str">
        <f>VLOOKUP(B20,REQ_CATEGORY!$A$1:$B$12,2,FALSE)</f>
        <v>Other Repair &amp; Maintenance</v>
      </c>
      <c r="D20">
        <v>3</v>
      </c>
      <c r="E20">
        <v>5</v>
      </c>
      <c r="F20" t="str">
        <f>VLOOKUP(E20,REQ_ROLE!$A$1:$B$10,2,FALSE)</f>
        <v>Procurement Committee</v>
      </c>
      <c r="G20" t="s">
        <v>22</v>
      </c>
      <c r="H20" t="s">
        <v>142</v>
      </c>
      <c r="I20" t="s">
        <v>142</v>
      </c>
      <c r="J20">
        <v>1</v>
      </c>
    </row>
    <row r="21" spans="1:10" x14ac:dyDescent="0.3">
      <c r="A21">
        <v>20</v>
      </c>
      <c r="B21">
        <v>4</v>
      </c>
      <c r="C21" t="str">
        <f>VLOOKUP(B21,REQ_CATEGORY!$A$1:$B$12,2,FALSE)</f>
        <v>Other Repair &amp; Maintenance</v>
      </c>
      <c r="D21">
        <v>4</v>
      </c>
      <c r="E21">
        <v>6</v>
      </c>
      <c r="F21" t="str">
        <f>VLOOKUP(E21,REQ_ROLE!$A$1:$B$10,2,FALSE)</f>
        <v>Department Admin</v>
      </c>
      <c r="G21" t="s">
        <v>4</v>
      </c>
      <c r="H21" t="s">
        <v>142</v>
      </c>
      <c r="I21" t="s">
        <v>142</v>
      </c>
      <c r="J21">
        <v>1</v>
      </c>
    </row>
    <row r="22" spans="1:10" x14ac:dyDescent="0.3">
      <c r="A22">
        <v>21</v>
      </c>
      <c r="B22">
        <v>4</v>
      </c>
      <c r="C22" t="str">
        <f>VLOOKUP(B22,REQ_CATEGORY!$A$1:$B$12,2,FALSE)</f>
        <v>Other Repair &amp; Maintenance</v>
      </c>
      <c r="D22">
        <v>5</v>
      </c>
      <c r="E22">
        <v>7</v>
      </c>
      <c r="F22" t="str">
        <f>VLOOKUP(E22,REQ_ROLE!$A$1:$B$10,2,FALSE)</f>
        <v>Procurement Team</v>
      </c>
      <c r="G22" t="s">
        <v>13</v>
      </c>
      <c r="H22" t="s">
        <v>142</v>
      </c>
      <c r="I22" t="s">
        <v>142</v>
      </c>
      <c r="J22">
        <v>1</v>
      </c>
    </row>
    <row r="23" spans="1:10" x14ac:dyDescent="0.3">
      <c r="A23">
        <v>22</v>
      </c>
      <c r="B23">
        <v>4</v>
      </c>
      <c r="C23" t="str">
        <f>VLOOKUP(B23,REQ_CATEGORY!$A$1:$B$12,2,FALSE)</f>
        <v>Other Repair &amp; Maintenance</v>
      </c>
      <c r="D23">
        <v>6</v>
      </c>
      <c r="E23">
        <v>5</v>
      </c>
      <c r="F23" t="str">
        <f>VLOOKUP(E23,REQ_ROLE!$A$1:$B$10,2,FALSE)</f>
        <v>Procurement Committee</v>
      </c>
      <c r="G23" t="s">
        <v>145</v>
      </c>
      <c r="H23" t="s">
        <v>142</v>
      </c>
      <c r="I23" t="s">
        <v>142</v>
      </c>
      <c r="J23">
        <v>1</v>
      </c>
    </row>
    <row r="24" spans="1:10" x14ac:dyDescent="0.3">
      <c r="A24">
        <v>23</v>
      </c>
      <c r="B24">
        <v>4</v>
      </c>
      <c r="C24" t="str">
        <f>VLOOKUP(B24,REQ_CATEGORY!$A$1:$B$12,2,FALSE)</f>
        <v>Other Repair &amp; Maintenance</v>
      </c>
      <c r="D24">
        <v>7</v>
      </c>
      <c r="E24">
        <v>8</v>
      </c>
      <c r="F24" t="str">
        <f>VLOOKUP(E24,REQ_ROLE!$A$1:$B$10,2,FALSE)</f>
        <v>CEO</v>
      </c>
      <c r="G24" t="s">
        <v>21</v>
      </c>
      <c r="H24" t="s">
        <v>142</v>
      </c>
      <c r="I24" t="s">
        <v>142</v>
      </c>
      <c r="J24">
        <v>1</v>
      </c>
    </row>
    <row r="25" spans="1:10" x14ac:dyDescent="0.3">
      <c r="A25">
        <v>24</v>
      </c>
      <c r="B25">
        <v>4</v>
      </c>
      <c r="C25" t="str">
        <f>VLOOKUP(B25,REQ_CATEGORY!$A$1:$B$12,2,FALSE)</f>
        <v>Other Repair &amp; Maintenance</v>
      </c>
      <c r="D25">
        <v>8</v>
      </c>
      <c r="E25">
        <v>9</v>
      </c>
      <c r="F25" t="str">
        <f>VLOOKUP(E25,REQ_ROLE!$A$1:$B$10,2,FALSE)</f>
        <v>Execution Team</v>
      </c>
      <c r="G25" t="s">
        <v>144</v>
      </c>
      <c r="H25" t="s">
        <v>142</v>
      </c>
      <c r="I25" t="s">
        <v>142</v>
      </c>
      <c r="J25">
        <v>1</v>
      </c>
    </row>
    <row r="26" spans="1:10" x14ac:dyDescent="0.3">
      <c r="A26">
        <v>25</v>
      </c>
      <c r="B26">
        <v>5</v>
      </c>
      <c r="C26" t="str">
        <f>VLOOKUP(B26,REQ_CATEGORY!$A$1:$B$12,2,FALSE)</f>
        <v>Loan &amp; Advance Salary</v>
      </c>
      <c r="D26">
        <v>1</v>
      </c>
      <c r="E26">
        <v>1</v>
      </c>
      <c r="F26" t="str">
        <f>VLOOKUP(E26,REQ_ROLE!$A$1:$B$10,2,FALSE)</f>
        <v>Employee</v>
      </c>
      <c r="G26" t="s">
        <v>6</v>
      </c>
      <c r="H26" t="s">
        <v>142</v>
      </c>
      <c r="I26" t="s">
        <v>142</v>
      </c>
      <c r="J26">
        <v>1</v>
      </c>
    </row>
    <row r="27" spans="1:10" x14ac:dyDescent="0.3">
      <c r="A27">
        <v>26</v>
      </c>
      <c r="B27">
        <v>5</v>
      </c>
      <c r="C27" t="str">
        <f>VLOOKUP(B27,REQ_CATEGORY!$A$1:$B$12,2,FALSE)</f>
        <v>Loan &amp; Advance Salary</v>
      </c>
      <c r="D27">
        <v>2</v>
      </c>
      <c r="E27">
        <v>2</v>
      </c>
      <c r="F27" t="str">
        <f>VLOOKUP(E27,REQ_ROLE!$A$1:$B$10,2,FALSE)</f>
        <v>HOD</v>
      </c>
      <c r="G27" t="s">
        <v>21</v>
      </c>
      <c r="H27" t="s">
        <v>142</v>
      </c>
      <c r="I27" t="s">
        <v>142</v>
      </c>
      <c r="J27">
        <v>1</v>
      </c>
    </row>
    <row r="28" spans="1:10" x14ac:dyDescent="0.3">
      <c r="A28">
        <v>27</v>
      </c>
      <c r="B28">
        <v>5</v>
      </c>
      <c r="C28" t="str">
        <f>VLOOKUP(B28,REQ_CATEGORY!$A$1:$B$12,2,FALSE)</f>
        <v>Loan &amp; Advance Salary</v>
      </c>
      <c r="D28">
        <v>3</v>
      </c>
      <c r="E28">
        <v>3</v>
      </c>
      <c r="F28" t="str">
        <f>VLOOKUP(E28,REQ_ROLE!$A$1:$B$10,2,FALSE)</f>
        <v>HR</v>
      </c>
      <c r="G28" t="s">
        <v>21</v>
      </c>
      <c r="H28">
        <v>0</v>
      </c>
      <c r="I28">
        <v>50000</v>
      </c>
      <c r="J28">
        <v>1</v>
      </c>
    </row>
    <row r="29" spans="1:10" x14ac:dyDescent="0.3">
      <c r="A29">
        <v>28</v>
      </c>
      <c r="B29">
        <v>5</v>
      </c>
      <c r="C29" t="str">
        <f>VLOOKUP(B29,REQ_CATEGORY!$A$1:$B$12,2,FALSE)</f>
        <v>Loan &amp; Advance Salary</v>
      </c>
      <c r="D29">
        <v>4</v>
      </c>
      <c r="E29">
        <v>4</v>
      </c>
      <c r="F29" t="str">
        <f>VLOOKUP(E29,REQ_ROLE!$A$1:$B$10,2,FALSE)</f>
        <v>Finance</v>
      </c>
      <c r="G29" t="s">
        <v>21</v>
      </c>
      <c r="H29">
        <v>0</v>
      </c>
      <c r="I29">
        <v>50000</v>
      </c>
      <c r="J29">
        <v>1</v>
      </c>
    </row>
    <row r="30" spans="1:10" x14ac:dyDescent="0.3">
      <c r="A30">
        <v>29</v>
      </c>
      <c r="B30">
        <v>5</v>
      </c>
      <c r="C30" t="str">
        <f>VLOOKUP(B30,REQ_CATEGORY!$A$1:$B$12,2,FALSE)</f>
        <v>Loan &amp; Advance Salary</v>
      </c>
      <c r="D30">
        <v>5</v>
      </c>
      <c r="E30">
        <v>8</v>
      </c>
      <c r="F30" t="str">
        <f>VLOOKUP(E30,REQ_ROLE!$A$1:$B$10,2,FALSE)</f>
        <v>CEO</v>
      </c>
      <c r="G30" t="s">
        <v>21</v>
      </c>
      <c r="H30">
        <v>50001</v>
      </c>
      <c r="I30" t="s">
        <v>142</v>
      </c>
      <c r="J30">
        <v>1</v>
      </c>
    </row>
    <row r="31" spans="1:10" x14ac:dyDescent="0.3">
      <c r="A31">
        <v>30</v>
      </c>
      <c r="B31">
        <v>5</v>
      </c>
      <c r="C31" t="str">
        <f>VLOOKUP(B31,REQ_CATEGORY!$A$1:$B$12,2,FALSE)</f>
        <v>Loan &amp; Advance Salary</v>
      </c>
      <c r="D31">
        <v>6</v>
      </c>
      <c r="E31">
        <v>4</v>
      </c>
      <c r="F31" t="str">
        <f>VLOOKUP(E31,REQ_ROLE!$A$1:$B$10,2,FALSE)</f>
        <v>Finance</v>
      </c>
      <c r="G31" t="s">
        <v>144</v>
      </c>
      <c r="H31" t="s">
        <v>142</v>
      </c>
      <c r="I31" t="s">
        <v>142</v>
      </c>
      <c r="J31">
        <v>1</v>
      </c>
    </row>
    <row r="32" spans="1:10" x14ac:dyDescent="0.3">
      <c r="A32">
        <v>31</v>
      </c>
      <c r="B32">
        <v>6</v>
      </c>
      <c r="C32" t="str">
        <f>VLOOKUP(B32,REQ_CATEGORY!$A$1:$B$12,2,FALSE)</f>
        <v>Event</v>
      </c>
      <c r="D32">
        <v>1</v>
      </c>
      <c r="E32">
        <v>1</v>
      </c>
      <c r="F32" t="str">
        <f>VLOOKUP(E32,REQ_ROLE!$A$1:$B$10,2,FALSE)</f>
        <v>Employee</v>
      </c>
      <c r="G32" t="s">
        <v>6</v>
      </c>
      <c r="H32" t="s">
        <v>142</v>
      </c>
      <c r="I32" t="s">
        <v>142</v>
      </c>
      <c r="J32">
        <v>1</v>
      </c>
    </row>
    <row r="33" spans="1:10" x14ac:dyDescent="0.3">
      <c r="A33">
        <v>32</v>
      </c>
      <c r="B33">
        <v>6</v>
      </c>
      <c r="C33" t="str">
        <f>VLOOKUP(B33,REQ_CATEGORY!$A$1:$B$12,2,FALSE)</f>
        <v>Event</v>
      </c>
      <c r="D33">
        <v>2</v>
      </c>
      <c r="E33">
        <v>2</v>
      </c>
      <c r="F33" t="str">
        <f>VLOOKUP(E33,REQ_ROLE!$A$1:$B$10,2,FALSE)</f>
        <v>HOD</v>
      </c>
      <c r="G33" t="s">
        <v>21</v>
      </c>
      <c r="H33" t="s">
        <v>142</v>
      </c>
      <c r="I33" t="s">
        <v>142</v>
      </c>
      <c r="J33">
        <v>1</v>
      </c>
    </row>
    <row r="34" spans="1:10" x14ac:dyDescent="0.3">
      <c r="A34">
        <v>33</v>
      </c>
      <c r="B34">
        <v>6</v>
      </c>
      <c r="C34" t="str">
        <f>VLOOKUP(B34,REQ_CATEGORY!$A$1:$B$12,2,FALSE)</f>
        <v>Event</v>
      </c>
      <c r="D34">
        <v>3</v>
      </c>
      <c r="E34">
        <v>7</v>
      </c>
      <c r="F34" t="str">
        <f>VLOOKUP(E34,REQ_ROLE!$A$1:$B$10,2,FALSE)</f>
        <v>Procurement Team</v>
      </c>
      <c r="G34" t="s">
        <v>13</v>
      </c>
      <c r="H34" t="s">
        <v>142</v>
      </c>
      <c r="I34" t="s">
        <v>142</v>
      </c>
      <c r="J34">
        <v>1</v>
      </c>
    </row>
    <row r="35" spans="1:10" x14ac:dyDescent="0.3">
      <c r="A35">
        <v>34</v>
      </c>
      <c r="B35">
        <v>6</v>
      </c>
      <c r="C35" t="str">
        <f>VLOOKUP(B35,REQ_CATEGORY!$A$1:$B$12,2,FALSE)</f>
        <v>Event</v>
      </c>
      <c r="D35">
        <v>4</v>
      </c>
      <c r="E35">
        <v>8</v>
      </c>
      <c r="F35" t="str">
        <f>VLOOKUP(E35,REQ_ROLE!$A$1:$B$10,2,FALSE)</f>
        <v>CEO</v>
      </c>
      <c r="G35" t="s">
        <v>21</v>
      </c>
      <c r="H35" t="s">
        <v>142</v>
      </c>
      <c r="I35" t="s">
        <v>142</v>
      </c>
      <c r="J35">
        <v>1</v>
      </c>
    </row>
    <row r="36" spans="1:10" x14ac:dyDescent="0.3">
      <c r="A36">
        <v>35</v>
      </c>
      <c r="B36">
        <v>6</v>
      </c>
      <c r="C36" t="str">
        <f>VLOOKUP(B36,REQ_CATEGORY!$A$1:$B$12,2,FALSE)</f>
        <v>Event</v>
      </c>
      <c r="D36">
        <v>5</v>
      </c>
      <c r="E36">
        <v>7</v>
      </c>
      <c r="F36" t="str">
        <f>VLOOKUP(E36,REQ_ROLE!$A$1:$B$10,2,FALSE)</f>
        <v>Procurement Team</v>
      </c>
      <c r="G36" t="s">
        <v>144</v>
      </c>
      <c r="H36" t="s">
        <v>142</v>
      </c>
      <c r="I36" t="s">
        <v>142</v>
      </c>
      <c r="J36">
        <v>1</v>
      </c>
    </row>
    <row r="37" spans="1:10" x14ac:dyDescent="0.3">
      <c r="A37">
        <v>36</v>
      </c>
      <c r="B37">
        <v>7</v>
      </c>
      <c r="C37" t="str">
        <f>VLOOKUP(B37,REQ_CATEGORY!$A$1:$B$12,2,FALSE)</f>
        <v>Specialized Projects</v>
      </c>
      <c r="D37">
        <v>1</v>
      </c>
      <c r="E37">
        <v>1</v>
      </c>
      <c r="F37" t="str">
        <f>VLOOKUP(E37,REQ_ROLE!$A$1:$B$10,2,FALSE)</f>
        <v>Employee</v>
      </c>
      <c r="G37" t="s">
        <v>6</v>
      </c>
      <c r="H37" t="s">
        <v>142</v>
      </c>
      <c r="I37" t="s">
        <v>142</v>
      </c>
      <c r="J37">
        <v>1</v>
      </c>
    </row>
    <row r="38" spans="1:10" x14ac:dyDescent="0.3">
      <c r="A38">
        <v>37</v>
      </c>
      <c r="B38">
        <v>7</v>
      </c>
      <c r="C38" t="str">
        <f>VLOOKUP(B38,REQ_CATEGORY!$A$1:$B$12,2,FALSE)</f>
        <v>Specialized Projects</v>
      </c>
      <c r="D38">
        <v>2</v>
      </c>
      <c r="E38">
        <v>5</v>
      </c>
      <c r="F38" t="str">
        <f>VLOOKUP(E38,REQ_ROLE!$A$1:$B$10,2,FALSE)</f>
        <v>Procurement Committee</v>
      </c>
      <c r="G38" t="s">
        <v>22</v>
      </c>
      <c r="H38" t="s">
        <v>142</v>
      </c>
      <c r="I38" t="s">
        <v>142</v>
      </c>
      <c r="J38">
        <v>1</v>
      </c>
    </row>
    <row r="39" spans="1:10" x14ac:dyDescent="0.3">
      <c r="A39">
        <v>38</v>
      </c>
      <c r="B39">
        <v>7</v>
      </c>
      <c r="C39" t="str">
        <f>VLOOKUP(B39,REQ_CATEGORY!$A$1:$B$12,2,FALSE)</f>
        <v>Specialized Projects</v>
      </c>
      <c r="D39">
        <v>3</v>
      </c>
      <c r="E39">
        <v>7</v>
      </c>
      <c r="F39" t="str">
        <f>VLOOKUP(E39,REQ_ROLE!$A$1:$B$10,2,FALSE)</f>
        <v>Procurement Team</v>
      </c>
      <c r="G39" t="s">
        <v>13</v>
      </c>
      <c r="H39" t="s">
        <v>142</v>
      </c>
      <c r="I39" t="s">
        <v>142</v>
      </c>
      <c r="J39">
        <v>1</v>
      </c>
    </row>
    <row r="40" spans="1:10" x14ac:dyDescent="0.3">
      <c r="A40">
        <v>39</v>
      </c>
      <c r="B40">
        <v>7</v>
      </c>
      <c r="C40" t="str">
        <f>VLOOKUP(B40,REQ_CATEGORY!$A$1:$B$12,2,FALSE)</f>
        <v>Specialized Projects</v>
      </c>
      <c r="D40">
        <v>4</v>
      </c>
      <c r="E40">
        <v>5</v>
      </c>
      <c r="F40" t="str">
        <f>VLOOKUP(E40,REQ_ROLE!$A$1:$B$10,2,FALSE)</f>
        <v>Procurement Committee</v>
      </c>
      <c r="G40" t="s">
        <v>22</v>
      </c>
      <c r="H40" t="s">
        <v>142</v>
      </c>
      <c r="I40" t="s">
        <v>142</v>
      </c>
      <c r="J40">
        <v>1</v>
      </c>
    </row>
    <row r="41" spans="1:10" x14ac:dyDescent="0.3">
      <c r="A41">
        <v>40</v>
      </c>
      <c r="B41">
        <v>7</v>
      </c>
      <c r="C41" t="str">
        <f>VLOOKUP(B41,REQ_CATEGORY!$A$1:$B$12,2,FALSE)</f>
        <v>Specialized Projects</v>
      </c>
      <c r="D41">
        <v>5</v>
      </c>
      <c r="E41">
        <v>8</v>
      </c>
      <c r="F41" t="str">
        <f>VLOOKUP(E41,REQ_ROLE!$A$1:$B$10,2,FALSE)</f>
        <v>CEO</v>
      </c>
      <c r="G41" t="s">
        <v>21</v>
      </c>
      <c r="H41" t="s">
        <v>142</v>
      </c>
      <c r="I41" t="s">
        <v>142</v>
      </c>
      <c r="J41">
        <v>1</v>
      </c>
    </row>
    <row r="42" spans="1:10" x14ac:dyDescent="0.3">
      <c r="A42">
        <v>41</v>
      </c>
      <c r="B42">
        <v>7</v>
      </c>
      <c r="C42" t="str">
        <f>VLOOKUP(B42,REQ_CATEGORY!$A$1:$B$12,2,FALSE)</f>
        <v>Specialized Projects</v>
      </c>
      <c r="D42">
        <v>6</v>
      </c>
      <c r="E42">
        <v>7</v>
      </c>
      <c r="F42" t="str">
        <f>VLOOKUP(E42,REQ_ROLE!$A$1:$B$10,2,FALSE)</f>
        <v>Procurement Team</v>
      </c>
      <c r="G42" t="s">
        <v>144</v>
      </c>
      <c r="H42" t="s">
        <v>142</v>
      </c>
      <c r="I42" t="s">
        <v>142</v>
      </c>
      <c r="J42">
        <v>1</v>
      </c>
    </row>
    <row r="43" spans="1:10" x14ac:dyDescent="0.3">
      <c r="A43">
        <v>42</v>
      </c>
      <c r="B43">
        <v>8</v>
      </c>
      <c r="C43" t="str">
        <f>VLOOKUP(B43,REQ_CATEGORY!$A$1:$B$12,2,FALSE)</f>
        <v>IT Equipments</v>
      </c>
      <c r="D43">
        <v>1</v>
      </c>
      <c r="E43">
        <v>1</v>
      </c>
      <c r="F43" t="str">
        <f>VLOOKUP(E43,REQ_ROLE!$A$1:$B$10,2,FALSE)</f>
        <v>Employee</v>
      </c>
      <c r="G43" t="s">
        <v>6</v>
      </c>
      <c r="H43" t="s">
        <v>142</v>
      </c>
      <c r="I43" t="s">
        <v>142</v>
      </c>
      <c r="J43">
        <v>1</v>
      </c>
    </row>
    <row r="44" spans="1:10" x14ac:dyDescent="0.3">
      <c r="A44">
        <v>43</v>
      </c>
      <c r="B44">
        <v>8</v>
      </c>
      <c r="C44" t="str">
        <f>VLOOKUP(B44,REQ_CATEGORY!$A$1:$B$12,2,FALSE)</f>
        <v>IT Equipments</v>
      </c>
      <c r="D44">
        <v>2</v>
      </c>
      <c r="E44">
        <v>5</v>
      </c>
      <c r="F44" t="str">
        <f>VLOOKUP(E44,REQ_ROLE!$A$1:$B$10,2,FALSE)</f>
        <v>Procurement Committee</v>
      </c>
      <c r="G44" t="s">
        <v>22</v>
      </c>
      <c r="H44" t="s">
        <v>142</v>
      </c>
      <c r="I44" t="s">
        <v>142</v>
      </c>
      <c r="J44">
        <v>1</v>
      </c>
    </row>
    <row r="45" spans="1:10" x14ac:dyDescent="0.3">
      <c r="A45">
        <v>44</v>
      </c>
      <c r="B45">
        <v>8</v>
      </c>
      <c r="C45" t="str">
        <f>VLOOKUP(B45,REQ_CATEGORY!$A$1:$B$12,2,FALSE)</f>
        <v>IT Equipments</v>
      </c>
      <c r="D45">
        <v>3</v>
      </c>
      <c r="E45">
        <v>7</v>
      </c>
      <c r="F45" t="str">
        <f>VLOOKUP(E45,REQ_ROLE!$A$1:$B$10,2,FALSE)</f>
        <v>Procurement Team</v>
      </c>
      <c r="G45" t="s">
        <v>13</v>
      </c>
      <c r="H45" t="s">
        <v>142</v>
      </c>
      <c r="I45" t="s">
        <v>142</v>
      </c>
      <c r="J45">
        <v>1</v>
      </c>
    </row>
    <row r="46" spans="1:10" x14ac:dyDescent="0.3">
      <c r="A46">
        <v>45</v>
      </c>
      <c r="B46">
        <v>8</v>
      </c>
      <c r="C46" t="str">
        <f>VLOOKUP(B46,REQ_CATEGORY!$A$1:$B$12,2,FALSE)</f>
        <v>IT Equipments</v>
      </c>
      <c r="D46">
        <v>4</v>
      </c>
      <c r="E46">
        <v>5</v>
      </c>
      <c r="F46" t="str">
        <f>VLOOKUP(E46,REQ_ROLE!$A$1:$B$10,2,FALSE)</f>
        <v>Procurement Committee</v>
      </c>
      <c r="G46" t="s">
        <v>22</v>
      </c>
      <c r="H46" t="s">
        <v>142</v>
      </c>
      <c r="I46" t="s">
        <v>142</v>
      </c>
      <c r="J46">
        <v>1</v>
      </c>
    </row>
    <row r="47" spans="1:10" x14ac:dyDescent="0.3">
      <c r="A47">
        <v>46</v>
      </c>
      <c r="B47">
        <v>8</v>
      </c>
      <c r="C47" t="str">
        <f>VLOOKUP(B47,REQ_CATEGORY!$A$1:$B$12,2,FALSE)</f>
        <v>IT Equipments</v>
      </c>
      <c r="D47">
        <v>5</v>
      </c>
      <c r="E47">
        <v>8</v>
      </c>
      <c r="F47" t="str">
        <f>VLOOKUP(E47,REQ_ROLE!$A$1:$B$10,2,FALSE)</f>
        <v>CEO</v>
      </c>
      <c r="G47" t="s">
        <v>21</v>
      </c>
      <c r="H47" t="s">
        <v>142</v>
      </c>
      <c r="I47" t="s">
        <v>142</v>
      </c>
      <c r="J47">
        <v>1</v>
      </c>
    </row>
    <row r="48" spans="1:10" x14ac:dyDescent="0.3">
      <c r="A48">
        <v>47</v>
      </c>
      <c r="B48">
        <v>8</v>
      </c>
      <c r="C48" t="str">
        <f>VLOOKUP(B48,REQ_CATEGORY!$A$1:$B$12,2,FALSE)</f>
        <v>IT Equipments</v>
      </c>
      <c r="D48">
        <v>6</v>
      </c>
      <c r="E48">
        <v>7</v>
      </c>
      <c r="F48" t="str">
        <f>VLOOKUP(E48,REQ_ROLE!$A$1:$B$10,2,FALSE)</f>
        <v>Procurement Team</v>
      </c>
      <c r="G48" t="s">
        <v>144</v>
      </c>
      <c r="H48" t="s">
        <v>142</v>
      </c>
      <c r="I48" t="s">
        <v>142</v>
      </c>
      <c r="J48">
        <v>1</v>
      </c>
    </row>
    <row r="49" spans="1:10" x14ac:dyDescent="0.3">
      <c r="A49">
        <v>48</v>
      </c>
      <c r="B49">
        <v>9</v>
      </c>
      <c r="C49" t="str">
        <f>VLOOKUP(B49,REQ_CATEGORY!$A$1:$B$12,2,FALSE)</f>
        <v>General Procurements - Grocery &amp; Others</v>
      </c>
      <c r="D49">
        <v>1</v>
      </c>
      <c r="E49">
        <v>1</v>
      </c>
      <c r="F49" t="str">
        <f>VLOOKUP(E49,REQ_ROLE!$A$1:$B$10,2,FALSE)</f>
        <v>Employee</v>
      </c>
      <c r="G49" t="s">
        <v>6</v>
      </c>
      <c r="H49" t="s">
        <v>142</v>
      </c>
      <c r="I49" t="s">
        <v>142</v>
      </c>
      <c r="J49">
        <v>1</v>
      </c>
    </row>
    <row r="50" spans="1:10" x14ac:dyDescent="0.3">
      <c r="A50">
        <v>49</v>
      </c>
      <c r="B50">
        <v>9</v>
      </c>
      <c r="C50" t="str">
        <f>VLOOKUP(B50,REQ_CATEGORY!$A$1:$B$12,2,FALSE)</f>
        <v>General Procurements - Grocery &amp; Others</v>
      </c>
      <c r="D50">
        <v>2</v>
      </c>
      <c r="E50">
        <v>5</v>
      </c>
      <c r="F50" t="str">
        <f>VLOOKUP(E50,REQ_ROLE!$A$1:$B$10,2,FALSE)</f>
        <v>Procurement Committee</v>
      </c>
      <c r="G50" t="s">
        <v>22</v>
      </c>
      <c r="H50" t="s">
        <v>142</v>
      </c>
      <c r="I50" t="s">
        <v>142</v>
      </c>
      <c r="J50">
        <v>1</v>
      </c>
    </row>
    <row r="51" spans="1:10" x14ac:dyDescent="0.3">
      <c r="A51">
        <v>50</v>
      </c>
      <c r="B51">
        <v>9</v>
      </c>
      <c r="C51" t="str">
        <f>VLOOKUP(B51,REQ_CATEGORY!$A$1:$B$12,2,FALSE)</f>
        <v>General Procurements - Grocery &amp; Others</v>
      </c>
      <c r="D51">
        <v>3</v>
      </c>
      <c r="E51">
        <v>7</v>
      </c>
      <c r="F51" t="str">
        <f>VLOOKUP(E51,REQ_ROLE!$A$1:$B$10,2,FALSE)</f>
        <v>Procurement Team</v>
      </c>
      <c r="G51" t="s">
        <v>13</v>
      </c>
      <c r="H51" t="s">
        <v>142</v>
      </c>
      <c r="I51" t="s">
        <v>142</v>
      </c>
      <c r="J51">
        <v>1</v>
      </c>
    </row>
    <row r="52" spans="1:10" x14ac:dyDescent="0.3">
      <c r="A52">
        <v>51</v>
      </c>
      <c r="B52">
        <v>9</v>
      </c>
      <c r="C52" t="str">
        <f>VLOOKUP(B52,REQ_CATEGORY!$A$1:$B$12,2,FALSE)</f>
        <v>General Procurements - Grocery &amp; Others</v>
      </c>
      <c r="D52">
        <v>4</v>
      </c>
      <c r="E52">
        <v>5</v>
      </c>
      <c r="F52" t="str">
        <f>VLOOKUP(E52,REQ_ROLE!$A$1:$B$10,2,FALSE)</f>
        <v>Procurement Committee</v>
      </c>
      <c r="G52" t="s">
        <v>22</v>
      </c>
      <c r="H52" t="s">
        <v>142</v>
      </c>
      <c r="I52" t="s">
        <v>142</v>
      </c>
      <c r="J52">
        <v>1</v>
      </c>
    </row>
    <row r="53" spans="1:10" x14ac:dyDescent="0.3">
      <c r="A53">
        <v>52</v>
      </c>
      <c r="B53">
        <v>9</v>
      </c>
      <c r="C53" t="str">
        <f>VLOOKUP(B53,REQ_CATEGORY!$A$1:$B$12,2,FALSE)</f>
        <v>General Procurements - Grocery &amp; Others</v>
      </c>
      <c r="D53">
        <v>5</v>
      </c>
      <c r="E53">
        <v>8</v>
      </c>
      <c r="F53" t="str">
        <f>VLOOKUP(E53,REQ_ROLE!$A$1:$B$10,2,FALSE)</f>
        <v>CEO</v>
      </c>
      <c r="G53" t="s">
        <v>21</v>
      </c>
      <c r="H53" t="s">
        <v>142</v>
      </c>
      <c r="I53" t="s">
        <v>142</v>
      </c>
      <c r="J53">
        <v>1</v>
      </c>
    </row>
    <row r="54" spans="1:10" x14ac:dyDescent="0.3">
      <c r="A54">
        <v>53</v>
      </c>
      <c r="B54">
        <v>9</v>
      </c>
      <c r="C54" t="str">
        <f>VLOOKUP(B54,REQ_CATEGORY!$A$1:$B$12,2,FALSE)</f>
        <v>General Procurements - Grocery &amp; Others</v>
      </c>
      <c r="D54">
        <v>6</v>
      </c>
      <c r="E54">
        <v>7</v>
      </c>
      <c r="F54" t="str">
        <f>VLOOKUP(E54,REQ_ROLE!$A$1:$B$10,2,FALSE)</f>
        <v>Procurement Team</v>
      </c>
      <c r="G54" t="s">
        <v>144</v>
      </c>
      <c r="H54" t="s">
        <v>142</v>
      </c>
      <c r="I54" t="s">
        <v>142</v>
      </c>
      <c r="J54">
        <v>1</v>
      </c>
    </row>
    <row r="55" spans="1:10" x14ac:dyDescent="0.3">
      <c r="A55">
        <v>54</v>
      </c>
      <c r="B55">
        <v>10</v>
      </c>
      <c r="C55" t="str">
        <f>VLOOKUP(B55,REQ_CATEGORY!$A$1:$B$12,2,FALSE)</f>
        <v>General Procurements - Electric Appliances</v>
      </c>
      <c r="D55">
        <v>1</v>
      </c>
      <c r="E55">
        <v>1</v>
      </c>
      <c r="F55" t="str">
        <f>VLOOKUP(E55,REQ_ROLE!$A$1:$B$10,2,FALSE)</f>
        <v>Employee</v>
      </c>
      <c r="G55" t="s">
        <v>6</v>
      </c>
      <c r="H55" t="s">
        <v>142</v>
      </c>
      <c r="I55" t="s">
        <v>142</v>
      </c>
      <c r="J55">
        <v>1</v>
      </c>
    </row>
    <row r="56" spans="1:10" x14ac:dyDescent="0.3">
      <c r="A56">
        <v>55</v>
      </c>
      <c r="B56">
        <v>10</v>
      </c>
      <c r="C56" t="str">
        <f>VLOOKUP(B56,REQ_CATEGORY!$A$1:$B$12,2,FALSE)</f>
        <v>General Procurements - Electric Appliances</v>
      </c>
      <c r="D56">
        <v>2</v>
      </c>
      <c r="E56">
        <v>5</v>
      </c>
      <c r="F56" t="str">
        <f>VLOOKUP(E56,REQ_ROLE!$A$1:$B$10,2,FALSE)</f>
        <v>Procurement Committee</v>
      </c>
      <c r="G56" t="s">
        <v>22</v>
      </c>
      <c r="H56" t="s">
        <v>142</v>
      </c>
      <c r="I56" t="s">
        <v>142</v>
      </c>
      <c r="J56">
        <v>1</v>
      </c>
    </row>
    <row r="57" spans="1:10" x14ac:dyDescent="0.3">
      <c r="A57">
        <v>56</v>
      </c>
      <c r="B57">
        <v>10</v>
      </c>
      <c r="C57" t="str">
        <f>VLOOKUP(B57,REQ_CATEGORY!$A$1:$B$12,2,FALSE)</f>
        <v>General Procurements - Electric Appliances</v>
      </c>
      <c r="D57">
        <v>3</v>
      </c>
      <c r="E57">
        <v>7</v>
      </c>
      <c r="F57" t="str">
        <f>VLOOKUP(E57,REQ_ROLE!$A$1:$B$10,2,FALSE)</f>
        <v>Procurement Team</v>
      </c>
      <c r="G57" t="s">
        <v>13</v>
      </c>
      <c r="H57" t="s">
        <v>142</v>
      </c>
      <c r="I57" t="s">
        <v>142</v>
      </c>
      <c r="J57">
        <v>1</v>
      </c>
    </row>
    <row r="58" spans="1:10" x14ac:dyDescent="0.3">
      <c r="A58">
        <v>57</v>
      </c>
      <c r="B58">
        <v>10</v>
      </c>
      <c r="C58" t="str">
        <f>VLOOKUP(B58,REQ_CATEGORY!$A$1:$B$12,2,FALSE)</f>
        <v>General Procurements - Electric Appliances</v>
      </c>
      <c r="D58">
        <v>4</v>
      </c>
      <c r="E58">
        <v>5</v>
      </c>
      <c r="F58" t="str">
        <f>VLOOKUP(E58,REQ_ROLE!$A$1:$B$10,2,FALSE)</f>
        <v>Procurement Committee</v>
      </c>
      <c r="G58" t="s">
        <v>22</v>
      </c>
      <c r="H58" t="s">
        <v>142</v>
      </c>
      <c r="I58" t="s">
        <v>142</v>
      </c>
      <c r="J58">
        <v>1</v>
      </c>
    </row>
    <row r="59" spans="1:10" x14ac:dyDescent="0.3">
      <c r="A59">
        <v>58</v>
      </c>
      <c r="B59">
        <v>10</v>
      </c>
      <c r="C59" t="str">
        <f>VLOOKUP(B59,REQ_CATEGORY!$A$1:$B$12,2,FALSE)</f>
        <v>General Procurements - Electric Appliances</v>
      </c>
      <c r="D59">
        <v>5</v>
      </c>
      <c r="E59">
        <v>8</v>
      </c>
      <c r="F59" t="str">
        <f>VLOOKUP(E59,REQ_ROLE!$A$1:$B$10,2,FALSE)</f>
        <v>CEO</v>
      </c>
      <c r="G59" t="s">
        <v>21</v>
      </c>
      <c r="H59" t="s">
        <v>142</v>
      </c>
      <c r="I59" t="s">
        <v>142</v>
      </c>
      <c r="J59">
        <v>1</v>
      </c>
    </row>
    <row r="60" spans="1:10" x14ac:dyDescent="0.3">
      <c r="A60">
        <v>59</v>
      </c>
      <c r="B60">
        <v>10</v>
      </c>
      <c r="C60" t="str">
        <f>VLOOKUP(B60,REQ_CATEGORY!$A$1:$B$12,2,FALSE)</f>
        <v>General Procurements - Electric Appliances</v>
      </c>
      <c r="D60">
        <v>6</v>
      </c>
      <c r="E60">
        <v>7</v>
      </c>
      <c r="F60" t="str">
        <f>VLOOKUP(E60,REQ_ROLE!$A$1:$B$10,2,FALSE)</f>
        <v>Procurement Team</v>
      </c>
      <c r="G60" t="s">
        <v>144</v>
      </c>
      <c r="H60" t="s">
        <v>142</v>
      </c>
      <c r="I60" t="s">
        <v>142</v>
      </c>
      <c r="J60">
        <v>1</v>
      </c>
    </row>
    <row r="61" spans="1:10" x14ac:dyDescent="0.3">
      <c r="A61">
        <v>60</v>
      </c>
      <c r="B61">
        <v>11</v>
      </c>
      <c r="C61" t="str">
        <f>VLOOKUP(B61,REQ_CATEGORY!$A$1:$B$12,2,FALSE)</f>
        <v>Devices / Accessories</v>
      </c>
      <c r="D61">
        <v>1</v>
      </c>
      <c r="E61">
        <v>1</v>
      </c>
      <c r="F61" t="str">
        <f>VLOOKUP(E61,REQ_ROLE!$A$1:$B$10,2,FALSE)</f>
        <v>Employee</v>
      </c>
      <c r="G61" t="s">
        <v>6</v>
      </c>
      <c r="H61" t="s">
        <v>142</v>
      </c>
      <c r="I61" t="s">
        <v>142</v>
      </c>
      <c r="J61">
        <v>1</v>
      </c>
    </row>
    <row r="62" spans="1:10" x14ac:dyDescent="0.3">
      <c r="A62">
        <v>61</v>
      </c>
      <c r="B62">
        <v>11</v>
      </c>
      <c r="C62" t="str">
        <f>VLOOKUP(B62,REQ_CATEGORY!$A$1:$B$12,2,FALSE)</f>
        <v>Devices / Accessories</v>
      </c>
      <c r="D62">
        <v>2</v>
      </c>
      <c r="E62">
        <v>5</v>
      </c>
      <c r="F62" t="str">
        <f>VLOOKUP(E62,REQ_ROLE!$A$1:$B$10,2,FALSE)</f>
        <v>Procurement Committee</v>
      </c>
      <c r="G62" t="s">
        <v>22</v>
      </c>
      <c r="H62" t="s">
        <v>142</v>
      </c>
      <c r="I62" t="s">
        <v>142</v>
      </c>
      <c r="J62">
        <v>1</v>
      </c>
    </row>
    <row r="63" spans="1:10" x14ac:dyDescent="0.3">
      <c r="A63">
        <v>62</v>
      </c>
      <c r="B63">
        <v>11</v>
      </c>
      <c r="C63" t="str">
        <f>VLOOKUP(B63,REQ_CATEGORY!$A$1:$B$12,2,FALSE)</f>
        <v>Devices / Accessories</v>
      </c>
      <c r="D63">
        <v>3</v>
      </c>
      <c r="E63">
        <v>7</v>
      </c>
      <c r="F63" t="str">
        <f>VLOOKUP(E63,REQ_ROLE!$A$1:$B$10,2,FALSE)</f>
        <v>Procurement Team</v>
      </c>
      <c r="G63" t="s">
        <v>13</v>
      </c>
      <c r="H63" t="s">
        <v>142</v>
      </c>
      <c r="I63" t="s">
        <v>142</v>
      </c>
      <c r="J63">
        <v>1</v>
      </c>
    </row>
    <row r="64" spans="1:10" x14ac:dyDescent="0.3">
      <c r="A64">
        <v>63</v>
      </c>
      <c r="B64">
        <v>11</v>
      </c>
      <c r="C64" t="str">
        <f>VLOOKUP(B64,REQ_CATEGORY!$A$1:$B$12,2,FALSE)</f>
        <v>Devices / Accessories</v>
      </c>
      <c r="D64">
        <v>4</v>
      </c>
      <c r="E64">
        <v>5</v>
      </c>
      <c r="F64" t="str">
        <f>VLOOKUP(E64,REQ_ROLE!$A$1:$B$10,2,FALSE)</f>
        <v>Procurement Committee</v>
      </c>
      <c r="G64" t="s">
        <v>22</v>
      </c>
      <c r="H64" t="s">
        <v>142</v>
      </c>
      <c r="I64" t="s">
        <v>142</v>
      </c>
      <c r="J64">
        <v>1</v>
      </c>
    </row>
    <row r="65" spans="1:10" x14ac:dyDescent="0.3">
      <c r="A65">
        <v>64</v>
      </c>
      <c r="B65">
        <v>11</v>
      </c>
      <c r="C65" t="str">
        <f>VLOOKUP(B65,REQ_CATEGORY!$A$1:$B$12,2,FALSE)</f>
        <v>Devices / Accessories</v>
      </c>
      <c r="D65">
        <v>5</v>
      </c>
      <c r="E65">
        <v>8</v>
      </c>
      <c r="F65" t="str">
        <f>VLOOKUP(E65,REQ_ROLE!$A$1:$B$10,2,FALSE)</f>
        <v>CEO</v>
      </c>
      <c r="G65" t="s">
        <v>21</v>
      </c>
      <c r="H65" t="s">
        <v>142</v>
      </c>
      <c r="I65" t="s">
        <v>142</v>
      </c>
      <c r="J65">
        <v>1</v>
      </c>
    </row>
    <row r="66" spans="1:10" x14ac:dyDescent="0.3">
      <c r="A66">
        <v>65</v>
      </c>
      <c r="B66">
        <v>11</v>
      </c>
      <c r="C66" t="str">
        <f>VLOOKUP(B66,REQ_CATEGORY!$A$1:$B$12,2,FALSE)</f>
        <v>Devices / Accessories</v>
      </c>
      <c r="D66">
        <v>6</v>
      </c>
      <c r="E66">
        <v>7</v>
      </c>
      <c r="F66" t="str">
        <f>VLOOKUP(E66,REQ_ROLE!$A$1:$B$10,2,FALSE)</f>
        <v>Procurement Team</v>
      </c>
      <c r="G66" t="s">
        <v>144</v>
      </c>
      <c r="H66" t="s">
        <v>142</v>
      </c>
      <c r="I66" t="s">
        <v>142</v>
      </c>
      <c r="J6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3754-F17A-429B-A5D8-F17ED1B26986}">
  <dimension ref="A1:J12"/>
  <sheetViews>
    <sheetView workbookViewId="0">
      <selection activeCell="F28" sqref="F28"/>
    </sheetView>
  </sheetViews>
  <sheetFormatPr defaultRowHeight="14.4" x14ac:dyDescent="0.3"/>
  <cols>
    <col min="1" max="1" width="5.77734375" bestFit="1" customWidth="1"/>
    <col min="2" max="2" width="13.77734375" customWidth="1"/>
    <col min="3" max="3" width="9.77734375" bestFit="1" customWidth="1"/>
    <col min="4" max="4" width="35" bestFit="1" customWidth="1"/>
    <col min="5" max="5" width="17.44140625" customWidth="1"/>
    <col min="6" max="6" width="24.33203125" bestFit="1" customWidth="1"/>
    <col min="7" max="7" width="21.88671875" bestFit="1" customWidth="1"/>
    <col min="8" max="8" width="15.21875" bestFit="1" customWidth="1"/>
    <col min="9" max="9" width="28.44140625" bestFit="1" customWidth="1"/>
    <col min="10" max="10" width="11.21875" style="18" bestFit="1" customWidth="1"/>
  </cols>
  <sheetData>
    <row r="1" spans="1:10" x14ac:dyDescent="0.3">
      <c r="A1" t="s">
        <v>87</v>
      </c>
      <c r="B1" t="s">
        <v>146</v>
      </c>
      <c r="C1" t="s">
        <v>127</v>
      </c>
      <c r="E1" t="s">
        <v>147</v>
      </c>
      <c r="F1" t="s">
        <v>148</v>
      </c>
      <c r="G1" t="s">
        <v>149</v>
      </c>
      <c r="H1" t="s">
        <v>150</v>
      </c>
      <c r="I1" t="s">
        <v>168</v>
      </c>
      <c r="J1" s="18" t="s">
        <v>151</v>
      </c>
    </row>
    <row r="2" spans="1:10" x14ac:dyDescent="0.3">
      <c r="A2">
        <v>1</v>
      </c>
      <c r="B2">
        <v>101</v>
      </c>
      <c r="C2">
        <v>1</v>
      </c>
      <c r="D2" t="str">
        <f>VLOOKUP(C2,REQ_CATEGORY!$A$1:$B$12,2,FALSE)</f>
        <v>Stationary</v>
      </c>
      <c r="E2">
        <v>5000</v>
      </c>
      <c r="F2" t="s">
        <v>152</v>
      </c>
      <c r="G2" t="s">
        <v>99</v>
      </c>
      <c r="H2">
        <v>4</v>
      </c>
      <c r="I2" t="str">
        <f>VLOOKUP(H2,REQ_WORKFLOW!$D$1:$G$66,3,FALSE)</f>
        <v>Execution Team</v>
      </c>
      <c r="J2" s="18">
        <v>46011.621377662035</v>
      </c>
    </row>
    <row r="3" spans="1:10" x14ac:dyDescent="0.3">
      <c r="A3">
        <v>2</v>
      </c>
      <c r="B3">
        <v>102</v>
      </c>
      <c r="C3">
        <v>2</v>
      </c>
      <c r="D3" t="str">
        <f>VLOOKUP(C3,REQ_CATEGORY!$A$1:$B$12,2,FALSE)</f>
        <v>Vehicle Maintenance</v>
      </c>
      <c r="E3">
        <v>12000</v>
      </c>
      <c r="F3" t="s">
        <v>153</v>
      </c>
      <c r="G3" t="s">
        <v>99</v>
      </c>
      <c r="H3">
        <v>4</v>
      </c>
      <c r="I3" t="str">
        <f>VLOOKUP(H3,REQ_WORKFLOW!$D$1:$G$66,3,FALSE)</f>
        <v>Execution Team</v>
      </c>
      <c r="J3" s="18">
        <v>46011.621377662035</v>
      </c>
    </row>
    <row r="4" spans="1:10" x14ac:dyDescent="0.3">
      <c r="A4">
        <v>3</v>
      </c>
      <c r="B4">
        <v>103</v>
      </c>
      <c r="C4">
        <v>3</v>
      </c>
      <c r="D4" t="str">
        <f>VLOOKUP(C4,REQ_CATEGORY!$A$1:$B$12,2,FALSE)</f>
        <v>Vehicle Repair</v>
      </c>
      <c r="E4">
        <v>85000</v>
      </c>
      <c r="F4" t="s">
        <v>154</v>
      </c>
      <c r="G4" t="s">
        <v>155</v>
      </c>
      <c r="H4">
        <v>7</v>
      </c>
      <c r="I4" t="str">
        <f>VLOOKUP(H4,REQ_WORKFLOW!$D$1:$G$66,3,FALSE)</f>
        <v>CEO</v>
      </c>
      <c r="J4" s="18">
        <v>46011.621377662035</v>
      </c>
    </row>
    <row r="5" spans="1:10" x14ac:dyDescent="0.3">
      <c r="A5">
        <v>4</v>
      </c>
      <c r="B5">
        <v>104</v>
      </c>
      <c r="C5">
        <v>4</v>
      </c>
      <c r="D5" t="str">
        <f>VLOOKUP(C5,REQ_CATEGORY!$A$1:$B$12,2,FALSE)</f>
        <v>Other Repair &amp; Maintenance</v>
      </c>
      <c r="E5">
        <v>45000</v>
      </c>
      <c r="F5" t="s">
        <v>156</v>
      </c>
      <c r="G5" t="s">
        <v>157</v>
      </c>
      <c r="H5">
        <v>6</v>
      </c>
      <c r="I5" t="str">
        <f>VLOOKUP(H5,REQ_WORKFLOW!$D$1:$G$66,3,FALSE)</f>
        <v>Procurement Committee</v>
      </c>
      <c r="J5" s="18">
        <v>46011.621377662035</v>
      </c>
    </row>
    <row r="6" spans="1:10" x14ac:dyDescent="0.3">
      <c r="A6">
        <v>5</v>
      </c>
      <c r="B6">
        <v>105</v>
      </c>
      <c r="C6">
        <v>5</v>
      </c>
      <c r="D6" t="str">
        <f>VLOOKUP(C6,REQ_CATEGORY!$A$1:$B$12,2,FALSE)</f>
        <v>Loan &amp; Advance Salary</v>
      </c>
      <c r="E6">
        <v>40000</v>
      </c>
      <c r="F6" t="s">
        <v>158</v>
      </c>
      <c r="G6" t="s">
        <v>159</v>
      </c>
      <c r="H6">
        <v>4</v>
      </c>
      <c r="I6" t="str">
        <f>VLOOKUP(H6,REQ_WORKFLOW!$D$1:$G$66,3,FALSE)</f>
        <v>Execution Team</v>
      </c>
      <c r="J6" s="18">
        <v>46011.621377662035</v>
      </c>
    </row>
    <row r="7" spans="1:10" x14ac:dyDescent="0.3">
      <c r="A7">
        <v>6</v>
      </c>
      <c r="B7">
        <v>106</v>
      </c>
      <c r="C7">
        <v>5</v>
      </c>
      <c r="D7" t="str">
        <f>VLOOKUP(C7,REQ_CATEGORY!$A$1:$B$12,2,FALSE)</f>
        <v>Loan &amp; Advance Salary</v>
      </c>
      <c r="E7">
        <v>75000</v>
      </c>
      <c r="F7" t="s">
        <v>115</v>
      </c>
      <c r="G7" t="s">
        <v>155</v>
      </c>
      <c r="H7">
        <v>5</v>
      </c>
      <c r="I7" t="str">
        <f>VLOOKUP(H7,REQ_WORKFLOW!$D$1:$G$66,3,FALSE)</f>
        <v>Procurement Team</v>
      </c>
      <c r="J7" s="18">
        <v>46011.621377662035</v>
      </c>
    </row>
    <row r="8" spans="1:10" x14ac:dyDescent="0.3">
      <c r="A8">
        <v>7</v>
      </c>
      <c r="B8">
        <v>107</v>
      </c>
      <c r="C8">
        <v>6</v>
      </c>
      <c r="D8" t="str">
        <f>VLOOKUP(C8,REQ_CATEGORY!$A$1:$B$12,2,FALSE)</f>
        <v>Event</v>
      </c>
      <c r="E8">
        <v>150000</v>
      </c>
      <c r="F8" t="s">
        <v>160</v>
      </c>
      <c r="G8" t="s">
        <v>155</v>
      </c>
      <c r="H8">
        <v>4</v>
      </c>
      <c r="I8" t="str">
        <f>VLOOKUP(H8,REQ_WORKFLOW!$D$1:$G$66,3,FALSE)</f>
        <v>Execution Team</v>
      </c>
      <c r="J8" s="18">
        <v>46011.621377662035</v>
      </c>
    </row>
    <row r="9" spans="1:10" x14ac:dyDescent="0.3">
      <c r="A9">
        <v>8</v>
      </c>
      <c r="B9">
        <v>108</v>
      </c>
      <c r="C9">
        <v>7</v>
      </c>
      <c r="D9" t="str">
        <f>VLOOKUP(C9,REQ_CATEGORY!$A$1:$B$12,2,FALSE)</f>
        <v>Specialized Projects</v>
      </c>
      <c r="E9">
        <v>500000</v>
      </c>
      <c r="F9" t="s">
        <v>161</v>
      </c>
      <c r="G9" t="s">
        <v>157</v>
      </c>
      <c r="H9">
        <v>4</v>
      </c>
      <c r="I9" t="str">
        <f>VLOOKUP(H9,REQ_WORKFLOW!$D$1:$G$66,3,FALSE)</f>
        <v>Execution Team</v>
      </c>
      <c r="J9" s="18">
        <v>46011.621377662035</v>
      </c>
    </row>
    <row r="10" spans="1:10" x14ac:dyDescent="0.3">
      <c r="A10">
        <v>9</v>
      </c>
      <c r="B10">
        <v>109</v>
      </c>
      <c r="C10">
        <v>8</v>
      </c>
      <c r="D10" t="str">
        <f>VLOOKUP(C10,REQ_CATEGORY!$A$1:$B$12,2,FALSE)</f>
        <v>IT Equipments</v>
      </c>
      <c r="E10">
        <v>350000</v>
      </c>
      <c r="F10" t="s">
        <v>162</v>
      </c>
      <c r="G10" t="s">
        <v>163</v>
      </c>
      <c r="H10">
        <v>3</v>
      </c>
      <c r="I10" t="str">
        <f>VLOOKUP(H10,REQ_WORKFLOW!$D$1:$G$66,3,FALSE)</f>
        <v>Department Admin</v>
      </c>
      <c r="J10" s="18">
        <v>46011.621377662035</v>
      </c>
    </row>
    <row r="11" spans="1:10" x14ac:dyDescent="0.3">
      <c r="A11">
        <v>10</v>
      </c>
      <c r="B11">
        <v>110</v>
      </c>
      <c r="C11">
        <v>9</v>
      </c>
      <c r="D11" t="str">
        <f>VLOOKUP(C11,REQ_CATEGORY!$A$1:$B$12,2,FALSE)</f>
        <v>General Procurements - Grocery &amp; Others</v>
      </c>
      <c r="E11">
        <v>90000</v>
      </c>
      <c r="F11" t="s">
        <v>164</v>
      </c>
      <c r="G11" t="s">
        <v>163</v>
      </c>
      <c r="H11">
        <v>3</v>
      </c>
      <c r="I11" t="str">
        <f>VLOOKUP(H11,REQ_WORKFLOW!$D$1:$G$66,3,FALSE)</f>
        <v>Department Admin</v>
      </c>
      <c r="J11" s="18">
        <v>46011.621377662035</v>
      </c>
    </row>
    <row r="12" spans="1:10" x14ac:dyDescent="0.3">
      <c r="A12">
        <v>11</v>
      </c>
      <c r="B12">
        <v>111</v>
      </c>
      <c r="C12">
        <v>11</v>
      </c>
      <c r="D12" t="str">
        <f>VLOOKUP(C12,REQ_CATEGORY!$A$1:$B$12,2,FALSE)</f>
        <v>Devices / Accessories</v>
      </c>
      <c r="E12">
        <v>25000</v>
      </c>
      <c r="F12" t="s">
        <v>165</v>
      </c>
      <c r="G12" t="s">
        <v>155</v>
      </c>
      <c r="H12">
        <v>5</v>
      </c>
      <c r="I12" t="str">
        <f>VLOOKUP(H12,REQ_WORKFLOW!$D$1:$G$66,3,FALSE)</f>
        <v>Procurement Team</v>
      </c>
      <c r="J12" s="18">
        <v>46011.621377662035</v>
      </c>
    </row>
  </sheetData>
  <autoFilter ref="A1:J1" xr:uid="{6FA43754-F17A-429B-A5D8-F17ED1B2698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BD41-A2D5-46B8-A16B-A8E9B2D285A5}">
  <dimension ref="A1:F66"/>
  <sheetViews>
    <sheetView workbookViewId="0">
      <selection activeCell="F5" sqref="F5"/>
    </sheetView>
  </sheetViews>
  <sheetFormatPr defaultRowHeight="14.4" x14ac:dyDescent="0.3"/>
  <cols>
    <col min="1" max="1" width="8.6640625" bestFit="1" customWidth="1"/>
    <col min="2" max="2" width="8" bestFit="1" customWidth="1"/>
    <col min="3" max="3" width="13.5546875" bestFit="1" customWidth="1"/>
    <col min="4" max="4" width="8.44140625" bestFit="1" customWidth="1"/>
    <col min="5" max="5" width="21" bestFit="1" customWidth="1"/>
    <col min="6" max="6" width="13.33203125" bestFit="1" customWidth="1"/>
  </cols>
  <sheetData>
    <row r="1" spans="1:6" x14ac:dyDescent="0.3">
      <c r="A1" t="s">
        <v>166</v>
      </c>
      <c r="B1" t="s">
        <v>87</v>
      </c>
      <c r="C1" t="s">
        <v>137</v>
      </c>
      <c r="D1" t="s">
        <v>88</v>
      </c>
      <c r="E1" t="s">
        <v>169</v>
      </c>
      <c r="F1" t="s">
        <v>167</v>
      </c>
    </row>
    <row r="2" spans="1:6" x14ac:dyDescent="0.3">
      <c r="A2">
        <v>1</v>
      </c>
      <c r="B2">
        <v>1</v>
      </c>
      <c r="C2">
        <v>1</v>
      </c>
      <c r="D2">
        <v>1</v>
      </c>
      <c r="E2" t="str">
        <f>VLOOKUP(D2,REQ_ROLE!$A$1:$B$10,2,FALSE)</f>
        <v>Employee</v>
      </c>
      <c r="F2">
        <v>1</v>
      </c>
    </row>
    <row r="3" spans="1:6" x14ac:dyDescent="0.3">
      <c r="A3">
        <v>2</v>
      </c>
      <c r="B3">
        <v>1</v>
      </c>
      <c r="C3">
        <v>2</v>
      </c>
      <c r="D3">
        <v>2</v>
      </c>
      <c r="E3" t="str">
        <f>VLOOKUP(D3,REQ_ROLE!$A$1:$B$10,2,FALSE)</f>
        <v>HOD</v>
      </c>
      <c r="F3">
        <v>1</v>
      </c>
    </row>
    <row r="4" spans="1:6" x14ac:dyDescent="0.3">
      <c r="A4">
        <v>3</v>
      </c>
      <c r="B4">
        <v>1</v>
      </c>
      <c r="C4">
        <v>3</v>
      </c>
      <c r="D4">
        <v>6</v>
      </c>
      <c r="E4" t="str">
        <f>VLOOKUP(D4,REQ_ROLE!$A$1:$B$10,2,FALSE)</f>
        <v>Department Admin</v>
      </c>
      <c r="F4">
        <v>1</v>
      </c>
    </row>
    <row r="5" spans="1:6" x14ac:dyDescent="0.3">
      <c r="A5">
        <v>4</v>
      </c>
      <c r="B5">
        <v>1</v>
      </c>
      <c r="C5">
        <v>4</v>
      </c>
      <c r="D5">
        <v>9</v>
      </c>
      <c r="E5" t="str">
        <f>VLOOKUP(D5,REQ_ROLE!$A$1:$B$10,2,FALSE)</f>
        <v>Execution Team</v>
      </c>
      <c r="F5">
        <v>1</v>
      </c>
    </row>
    <row r="6" spans="1:6" x14ac:dyDescent="0.3">
      <c r="A6">
        <v>5</v>
      </c>
      <c r="B6">
        <v>2</v>
      </c>
      <c r="C6">
        <v>1</v>
      </c>
      <c r="D6">
        <v>1</v>
      </c>
      <c r="E6" t="str">
        <f>VLOOKUP(D6,REQ_ROLE!$A$1:$B$10,2,FALSE)</f>
        <v>Employee</v>
      </c>
      <c r="F6">
        <v>1</v>
      </c>
    </row>
    <row r="7" spans="1:6" x14ac:dyDescent="0.3">
      <c r="A7">
        <v>6</v>
      </c>
      <c r="B7">
        <v>2</v>
      </c>
      <c r="C7">
        <v>2</v>
      </c>
      <c r="D7">
        <v>2</v>
      </c>
      <c r="E7" t="str">
        <f>VLOOKUP(D7,REQ_ROLE!$A$1:$B$10,2,FALSE)</f>
        <v>HOD</v>
      </c>
      <c r="F7">
        <v>1</v>
      </c>
    </row>
    <row r="8" spans="1:6" x14ac:dyDescent="0.3">
      <c r="A8">
        <v>7</v>
      </c>
      <c r="B8">
        <v>2</v>
      </c>
      <c r="C8">
        <v>3</v>
      </c>
      <c r="D8">
        <v>6</v>
      </c>
      <c r="E8" t="str">
        <f>VLOOKUP(D8,REQ_ROLE!$A$1:$B$10,2,FALSE)</f>
        <v>Department Admin</v>
      </c>
      <c r="F8">
        <v>1</v>
      </c>
    </row>
    <row r="9" spans="1:6" x14ac:dyDescent="0.3">
      <c r="A9">
        <v>8</v>
      </c>
      <c r="B9">
        <v>2</v>
      </c>
      <c r="C9">
        <v>4</v>
      </c>
      <c r="D9">
        <v>9</v>
      </c>
      <c r="E9" t="str">
        <f>VLOOKUP(D9,REQ_ROLE!$A$1:$B$10,2,FALSE)</f>
        <v>Execution Team</v>
      </c>
      <c r="F9">
        <v>1</v>
      </c>
    </row>
    <row r="10" spans="1:6" x14ac:dyDescent="0.3">
      <c r="A10">
        <v>9</v>
      </c>
      <c r="B10">
        <v>3</v>
      </c>
      <c r="C10">
        <v>1</v>
      </c>
      <c r="D10">
        <v>1</v>
      </c>
      <c r="E10" t="str">
        <f>VLOOKUP(D10,REQ_ROLE!$A$1:$B$10,2,FALSE)</f>
        <v>Employee</v>
      </c>
      <c r="F10">
        <v>1</v>
      </c>
    </row>
    <row r="11" spans="1:6" x14ac:dyDescent="0.3">
      <c r="A11">
        <v>10</v>
      </c>
      <c r="B11">
        <v>3</v>
      </c>
      <c r="C11">
        <v>2</v>
      </c>
      <c r="D11">
        <v>2</v>
      </c>
      <c r="E11" t="str">
        <f>VLOOKUP(D11,REQ_ROLE!$A$1:$B$10,2,FALSE)</f>
        <v>HOD</v>
      </c>
      <c r="F11">
        <v>1</v>
      </c>
    </row>
    <row r="12" spans="1:6" x14ac:dyDescent="0.3">
      <c r="A12">
        <v>11</v>
      </c>
      <c r="B12">
        <v>3</v>
      </c>
      <c r="C12">
        <v>3</v>
      </c>
      <c r="D12">
        <v>5</v>
      </c>
      <c r="E12" t="str">
        <f>VLOOKUP(D12,REQ_ROLE!$A$1:$B$10,2,FALSE)</f>
        <v>Procurement Committee</v>
      </c>
      <c r="F12">
        <v>1</v>
      </c>
    </row>
    <row r="13" spans="1:6" x14ac:dyDescent="0.3">
      <c r="A13">
        <v>12</v>
      </c>
      <c r="B13">
        <v>3</v>
      </c>
      <c r="C13">
        <v>4</v>
      </c>
      <c r="D13">
        <v>6</v>
      </c>
      <c r="E13" t="str">
        <f>VLOOKUP(D13,REQ_ROLE!$A$1:$B$10,2,FALSE)</f>
        <v>Department Admin</v>
      </c>
      <c r="F13">
        <v>1</v>
      </c>
    </row>
    <row r="14" spans="1:6" x14ac:dyDescent="0.3">
      <c r="A14">
        <v>13</v>
      </c>
      <c r="B14">
        <v>3</v>
      </c>
      <c r="C14">
        <v>5</v>
      </c>
      <c r="D14">
        <v>7</v>
      </c>
      <c r="E14" t="str">
        <f>VLOOKUP(D14,REQ_ROLE!$A$1:$B$10,2,FALSE)</f>
        <v>Procurement Team</v>
      </c>
      <c r="F14">
        <v>1</v>
      </c>
    </row>
    <row r="15" spans="1:6" x14ac:dyDescent="0.3">
      <c r="A15">
        <v>14</v>
      </c>
      <c r="B15">
        <v>3</v>
      </c>
      <c r="C15">
        <v>6</v>
      </c>
      <c r="D15">
        <v>5</v>
      </c>
      <c r="E15" t="str">
        <f>VLOOKUP(D15,REQ_ROLE!$A$1:$B$10,2,FALSE)</f>
        <v>Procurement Committee</v>
      </c>
      <c r="F15">
        <v>1</v>
      </c>
    </row>
    <row r="16" spans="1:6" x14ac:dyDescent="0.3">
      <c r="A16">
        <v>15</v>
      </c>
      <c r="B16">
        <v>3</v>
      </c>
      <c r="C16">
        <v>7</v>
      </c>
      <c r="D16">
        <v>8</v>
      </c>
      <c r="E16" t="str">
        <f>VLOOKUP(D16,REQ_ROLE!$A$1:$B$10,2,FALSE)</f>
        <v>CEO</v>
      </c>
      <c r="F16">
        <v>0</v>
      </c>
    </row>
    <row r="17" spans="1:6" x14ac:dyDescent="0.3">
      <c r="A17">
        <v>16</v>
      </c>
      <c r="B17">
        <v>3</v>
      </c>
      <c r="C17">
        <v>8</v>
      </c>
      <c r="D17">
        <v>9</v>
      </c>
      <c r="E17" t="str">
        <f>VLOOKUP(D17,REQ_ROLE!$A$1:$B$10,2,FALSE)</f>
        <v>Execution Team</v>
      </c>
      <c r="F17">
        <v>0</v>
      </c>
    </row>
    <row r="18" spans="1:6" x14ac:dyDescent="0.3">
      <c r="A18">
        <v>17</v>
      </c>
      <c r="B18">
        <v>4</v>
      </c>
      <c r="C18">
        <v>1</v>
      </c>
      <c r="D18">
        <v>1</v>
      </c>
      <c r="E18" t="str">
        <f>VLOOKUP(D18,REQ_ROLE!$A$1:$B$10,2,FALSE)</f>
        <v>Employee</v>
      </c>
      <c r="F18">
        <v>1</v>
      </c>
    </row>
    <row r="19" spans="1:6" x14ac:dyDescent="0.3">
      <c r="A19">
        <v>18</v>
      </c>
      <c r="B19">
        <v>4</v>
      </c>
      <c r="C19">
        <v>2</v>
      </c>
      <c r="D19">
        <v>2</v>
      </c>
      <c r="E19" t="str">
        <f>VLOOKUP(D19,REQ_ROLE!$A$1:$B$10,2,FALSE)</f>
        <v>HOD</v>
      </c>
      <c r="F19">
        <v>1</v>
      </c>
    </row>
    <row r="20" spans="1:6" x14ac:dyDescent="0.3">
      <c r="A20">
        <v>19</v>
      </c>
      <c r="B20">
        <v>4</v>
      </c>
      <c r="C20">
        <v>3</v>
      </c>
      <c r="D20">
        <v>5</v>
      </c>
      <c r="E20" t="str">
        <f>VLOOKUP(D20,REQ_ROLE!$A$1:$B$10,2,FALSE)</f>
        <v>Procurement Committee</v>
      </c>
      <c r="F20">
        <v>1</v>
      </c>
    </row>
    <row r="21" spans="1:6" x14ac:dyDescent="0.3">
      <c r="A21">
        <v>20</v>
      </c>
      <c r="B21">
        <v>4</v>
      </c>
      <c r="C21">
        <v>4</v>
      </c>
      <c r="D21">
        <v>6</v>
      </c>
      <c r="E21" t="str">
        <f>VLOOKUP(D21,REQ_ROLE!$A$1:$B$10,2,FALSE)</f>
        <v>Department Admin</v>
      </c>
      <c r="F21">
        <v>1</v>
      </c>
    </row>
    <row r="22" spans="1:6" x14ac:dyDescent="0.3">
      <c r="A22">
        <v>21</v>
      </c>
      <c r="B22">
        <v>4</v>
      </c>
      <c r="C22">
        <v>5</v>
      </c>
      <c r="D22">
        <v>7</v>
      </c>
      <c r="E22" t="str">
        <f>VLOOKUP(D22,REQ_ROLE!$A$1:$B$10,2,FALSE)</f>
        <v>Procurement Team</v>
      </c>
      <c r="F22">
        <v>1</v>
      </c>
    </row>
    <row r="23" spans="1:6" x14ac:dyDescent="0.3">
      <c r="A23">
        <v>22</v>
      </c>
      <c r="B23">
        <v>4</v>
      </c>
      <c r="C23">
        <v>6</v>
      </c>
      <c r="D23">
        <v>5</v>
      </c>
      <c r="E23" t="str">
        <f>VLOOKUP(D23,REQ_ROLE!$A$1:$B$10,2,FALSE)</f>
        <v>Procurement Committee</v>
      </c>
      <c r="F23">
        <v>0</v>
      </c>
    </row>
    <row r="24" spans="1:6" x14ac:dyDescent="0.3">
      <c r="A24">
        <v>23</v>
      </c>
      <c r="B24">
        <v>4</v>
      </c>
      <c r="C24">
        <v>7</v>
      </c>
      <c r="D24">
        <v>8</v>
      </c>
      <c r="E24" t="str">
        <f>VLOOKUP(D24,REQ_ROLE!$A$1:$B$10,2,FALSE)</f>
        <v>CEO</v>
      </c>
      <c r="F24">
        <v>0</v>
      </c>
    </row>
    <row r="25" spans="1:6" x14ac:dyDescent="0.3">
      <c r="A25">
        <v>24</v>
      </c>
      <c r="B25">
        <v>4</v>
      </c>
      <c r="C25">
        <v>8</v>
      </c>
      <c r="D25">
        <v>9</v>
      </c>
      <c r="E25" t="str">
        <f>VLOOKUP(D25,REQ_ROLE!$A$1:$B$10,2,FALSE)</f>
        <v>Execution Team</v>
      </c>
      <c r="F25">
        <v>0</v>
      </c>
    </row>
    <row r="26" spans="1:6" x14ac:dyDescent="0.3">
      <c r="A26">
        <v>25</v>
      </c>
      <c r="B26">
        <v>5</v>
      </c>
      <c r="C26">
        <v>1</v>
      </c>
      <c r="D26">
        <v>1</v>
      </c>
      <c r="E26" t="str">
        <f>VLOOKUP(D26,REQ_ROLE!$A$1:$B$10,2,FALSE)</f>
        <v>Employee</v>
      </c>
      <c r="F26">
        <v>1</v>
      </c>
    </row>
    <row r="27" spans="1:6" x14ac:dyDescent="0.3">
      <c r="A27">
        <v>26</v>
      </c>
      <c r="B27">
        <v>5</v>
      </c>
      <c r="C27">
        <v>2</v>
      </c>
      <c r="D27">
        <v>2</v>
      </c>
      <c r="E27" t="str">
        <f>VLOOKUP(D27,REQ_ROLE!$A$1:$B$10,2,FALSE)</f>
        <v>HOD</v>
      </c>
      <c r="F27">
        <v>1</v>
      </c>
    </row>
    <row r="28" spans="1:6" x14ac:dyDescent="0.3">
      <c r="A28">
        <v>27</v>
      </c>
      <c r="B28">
        <v>5</v>
      </c>
      <c r="C28">
        <v>3</v>
      </c>
      <c r="D28">
        <v>3</v>
      </c>
      <c r="E28" t="str">
        <f>VLOOKUP(D28,REQ_ROLE!$A$1:$B$10,2,FALSE)</f>
        <v>HR</v>
      </c>
      <c r="F28">
        <v>1</v>
      </c>
    </row>
    <row r="29" spans="1:6" x14ac:dyDescent="0.3">
      <c r="A29">
        <v>28</v>
      </c>
      <c r="B29">
        <v>5</v>
      </c>
      <c r="C29">
        <v>4</v>
      </c>
      <c r="D29">
        <v>4</v>
      </c>
      <c r="E29" t="str">
        <f>VLOOKUP(D29,REQ_ROLE!$A$1:$B$10,2,FALSE)</f>
        <v>Finance</v>
      </c>
      <c r="F29">
        <v>0</v>
      </c>
    </row>
    <row r="30" spans="1:6" x14ac:dyDescent="0.3">
      <c r="A30">
        <v>29</v>
      </c>
      <c r="B30">
        <v>5</v>
      </c>
      <c r="C30">
        <v>5</v>
      </c>
      <c r="D30">
        <v>8</v>
      </c>
      <c r="E30" t="str">
        <f>VLOOKUP(D30,REQ_ROLE!$A$1:$B$10,2,FALSE)</f>
        <v>CEO</v>
      </c>
      <c r="F30">
        <v>0</v>
      </c>
    </row>
    <row r="31" spans="1:6" x14ac:dyDescent="0.3">
      <c r="A31">
        <v>30</v>
      </c>
      <c r="B31">
        <v>5</v>
      </c>
      <c r="C31">
        <v>6</v>
      </c>
      <c r="D31">
        <v>4</v>
      </c>
      <c r="E31" t="str">
        <f>VLOOKUP(D31,REQ_ROLE!$A$1:$B$10,2,FALSE)</f>
        <v>Finance</v>
      </c>
      <c r="F31">
        <v>0</v>
      </c>
    </row>
    <row r="32" spans="1:6" x14ac:dyDescent="0.3">
      <c r="A32">
        <v>31</v>
      </c>
      <c r="B32">
        <v>6</v>
      </c>
      <c r="C32">
        <v>1</v>
      </c>
      <c r="D32">
        <v>1</v>
      </c>
      <c r="E32" t="str">
        <f>VLOOKUP(D32,REQ_ROLE!$A$1:$B$10,2,FALSE)</f>
        <v>Employee</v>
      </c>
      <c r="F32">
        <v>1</v>
      </c>
    </row>
    <row r="33" spans="1:6" x14ac:dyDescent="0.3">
      <c r="A33">
        <v>32</v>
      </c>
      <c r="B33">
        <v>6</v>
      </c>
      <c r="C33">
        <v>2</v>
      </c>
      <c r="D33">
        <v>2</v>
      </c>
      <c r="E33" t="str">
        <f>VLOOKUP(D33,REQ_ROLE!$A$1:$B$10,2,FALSE)</f>
        <v>HOD</v>
      </c>
      <c r="F33">
        <v>1</v>
      </c>
    </row>
    <row r="34" spans="1:6" x14ac:dyDescent="0.3">
      <c r="A34">
        <v>33</v>
      </c>
      <c r="B34">
        <v>6</v>
      </c>
      <c r="C34">
        <v>3</v>
      </c>
      <c r="D34">
        <v>3</v>
      </c>
      <c r="E34" t="str">
        <f>VLOOKUP(D34,REQ_ROLE!$A$1:$B$10,2,FALSE)</f>
        <v>HR</v>
      </c>
      <c r="F34">
        <v>1</v>
      </c>
    </row>
    <row r="35" spans="1:6" x14ac:dyDescent="0.3">
      <c r="A35">
        <v>34</v>
      </c>
      <c r="B35">
        <v>6</v>
      </c>
      <c r="C35">
        <v>4</v>
      </c>
      <c r="D35">
        <v>4</v>
      </c>
      <c r="E35" t="str">
        <f>VLOOKUP(D35,REQ_ROLE!$A$1:$B$10,2,FALSE)</f>
        <v>Finance</v>
      </c>
      <c r="F35">
        <v>1</v>
      </c>
    </row>
    <row r="36" spans="1:6" x14ac:dyDescent="0.3">
      <c r="A36">
        <v>35</v>
      </c>
      <c r="B36">
        <v>6</v>
      </c>
      <c r="C36">
        <v>5</v>
      </c>
      <c r="D36">
        <v>8</v>
      </c>
      <c r="E36" t="str">
        <f>VLOOKUP(D36,REQ_ROLE!$A$1:$B$10,2,FALSE)</f>
        <v>CEO</v>
      </c>
      <c r="F36">
        <v>0</v>
      </c>
    </row>
    <row r="37" spans="1:6" x14ac:dyDescent="0.3">
      <c r="A37">
        <v>36</v>
      </c>
      <c r="B37">
        <v>6</v>
      </c>
      <c r="C37">
        <v>6</v>
      </c>
      <c r="D37">
        <v>4</v>
      </c>
      <c r="E37" t="str">
        <f>VLOOKUP(D37,REQ_ROLE!$A$1:$B$10,2,FALSE)</f>
        <v>Finance</v>
      </c>
      <c r="F37">
        <v>0</v>
      </c>
    </row>
    <row r="38" spans="1:6" x14ac:dyDescent="0.3">
      <c r="A38">
        <v>37</v>
      </c>
      <c r="B38">
        <v>7</v>
      </c>
      <c r="C38">
        <v>1</v>
      </c>
      <c r="D38">
        <v>1</v>
      </c>
      <c r="E38" t="str">
        <f>VLOOKUP(D38,REQ_ROLE!$A$1:$B$10,2,FALSE)</f>
        <v>Employee</v>
      </c>
      <c r="F38">
        <v>1</v>
      </c>
    </row>
    <row r="39" spans="1:6" x14ac:dyDescent="0.3">
      <c r="A39">
        <v>38</v>
      </c>
      <c r="B39">
        <v>7</v>
      </c>
      <c r="C39">
        <v>2</v>
      </c>
      <c r="D39">
        <v>2</v>
      </c>
      <c r="E39" t="str">
        <f>VLOOKUP(D39,REQ_ROLE!$A$1:$B$10,2,FALSE)</f>
        <v>HOD</v>
      </c>
      <c r="F39">
        <v>1</v>
      </c>
    </row>
    <row r="40" spans="1:6" x14ac:dyDescent="0.3">
      <c r="A40">
        <v>39</v>
      </c>
      <c r="B40">
        <v>7</v>
      </c>
      <c r="C40">
        <v>3</v>
      </c>
      <c r="D40">
        <v>7</v>
      </c>
      <c r="E40" t="str">
        <f>VLOOKUP(D40,REQ_ROLE!$A$1:$B$10,2,FALSE)</f>
        <v>Procurement Team</v>
      </c>
      <c r="F40">
        <v>1</v>
      </c>
    </row>
    <row r="41" spans="1:6" x14ac:dyDescent="0.3">
      <c r="A41">
        <v>40</v>
      </c>
      <c r="B41">
        <v>7</v>
      </c>
      <c r="C41">
        <v>4</v>
      </c>
      <c r="D41">
        <v>8</v>
      </c>
      <c r="E41" t="str">
        <f>VLOOKUP(D41,REQ_ROLE!$A$1:$B$10,2,FALSE)</f>
        <v>CEO</v>
      </c>
      <c r="F41">
        <v>0</v>
      </c>
    </row>
    <row r="42" spans="1:6" x14ac:dyDescent="0.3">
      <c r="A42">
        <v>41</v>
      </c>
      <c r="B42">
        <v>7</v>
      </c>
      <c r="C42">
        <v>5</v>
      </c>
      <c r="D42">
        <v>7</v>
      </c>
      <c r="E42" t="str">
        <f>VLOOKUP(D42,REQ_ROLE!$A$1:$B$10,2,FALSE)</f>
        <v>Procurement Team</v>
      </c>
      <c r="F42">
        <v>0</v>
      </c>
    </row>
    <row r="43" spans="1:6" x14ac:dyDescent="0.3">
      <c r="A43">
        <v>42</v>
      </c>
      <c r="B43">
        <v>8</v>
      </c>
      <c r="C43">
        <v>1</v>
      </c>
      <c r="D43">
        <v>1</v>
      </c>
      <c r="E43" t="str">
        <f>VLOOKUP(D43,REQ_ROLE!$A$1:$B$10,2,FALSE)</f>
        <v>Employee</v>
      </c>
      <c r="F43">
        <v>1</v>
      </c>
    </row>
    <row r="44" spans="1:6" x14ac:dyDescent="0.3">
      <c r="A44">
        <v>43</v>
      </c>
      <c r="B44">
        <v>8</v>
      </c>
      <c r="C44">
        <v>2</v>
      </c>
      <c r="D44">
        <v>5</v>
      </c>
      <c r="E44" t="str">
        <f>VLOOKUP(D44,REQ_ROLE!$A$1:$B$10,2,FALSE)</f>
        <v>Procurement Committee</v>
      </c>
      <c r="F44">
        <v>1</v>
      </c>
    </row>
    <row r="45" spans="1:6" x14ac:dyDescent="0.3">
      <c r="A45">
        <v>44</v>
      </c>
      <c r="B45">
        <v>8</v>
      </c>
      <c r="C45">
        <v>3</v>
      </c>
      <c r="D45">
        <v>7</v>
      </c>
      <c r="E45" t="str">
        <f>VLOOKUP(D45,REQ_ROLE!$A$1:$B$10,2,FALSE)</f>
        <v>Procurement Team</v>
      </c>
      <c r="F45">
        <v>1</v>
      </c>
    </row>
    <row r="46" spans="1:6" x14ac:dyDescent="0.3">
      <c r="A46">
        <v>45</v>
      </c>
      <c r="B46">
        <v>8</v>
      </c>
      <c r="C46">
        <v>4</v>
      </c>
      <c r="D46">
        <v>5</v>
      </c>
      <c r="E46" t="str">
        <f>VLOOKUP(D46,REQ_ROLE!$A$1:$B$10,2,FALSE)</f>
        <v>Procurement Committee</v>
      </c>
      <c r="F46">
        <v>0</v>
      </c>
    </row>
    <row r="47" spans="1:6" x14ac:dyDescent="0.3">
      <c r="A47">
        <v>46</v>
      </c>
      <c r="B47">
        <v>8</v>
      </c>
      <c r="C47">
        <v>5</v>
      </c>
      <c r="D47">
        <v>8</v>
      </c>
      <c r="E47" t="str">
        <f>VLOOKUP(D47,REQ_ROLE!$A$1:$B$10,2,FALSE)</f>
        <v>CEO</v>
      </c>
      <c r="F47">
        <v>0</v>
      </c>
    </row>
    <row r="48" spans="1:6" x14ac:dyDescent="0.3">
      <c r="A48">
        <v>47</v>
      </c>
      <c r="B48">
        <v>8</v>
      </c>
      <c r="C48">
        <v>6</v>
      </c>
      <c r="D48">
        <v>7</v>
      </c>
      <c r="E48" t="str">
        <f>VLOOKUP(D48,REQ_ROLE!$A$1:$B$10,2,FALSE)</f>
        <v>Procurement Team</v>
      </c>
      <c r="F48">
        <v>0</v>
      </c>
    </row>
    <row r="49" spans="1:6" x14ac:dyDescent="0.3">
      <c r="A49">
        <v>48</v>
      </c>
      <c r="B49">
        <v>9</v>
      </c>
      <c r="C49">
        <v>1</v>
      </c>
      <c r="D49">
        <v>1</v>
      </c>
      <c r="E49" t="str">
        <f>VLOOKUP(D49,REQ_ROLE!$A$1:$B$10,2,FALSE)</f>
        <v>Employee</v>
      </c>
      <c r="F49">
        <v>1</v>
      </c>
    </row>
    <row r="50" spans="1:6" x14ac:dyDescent="0.3">
      <c r="A50">
        <v>49</v>
      </c>
      <c r="B50">
        <v>9</v>
      </c>
      <c r="C50">
        <v>2</v>
      </c>
      <c r="D50">
        <v>5</v>
      </c>
      <c r="E50" t="str">
        <f>VLOOKUP(D50,REQ_ROLE!$A$1:$B$10,2,FALSE)</f>
        <v>Procurement Committee</v>
      </c>
      <c r="F50">
        <v>1</v>
      </c>
    </row>
    <row r="51" spans="1:6" x14ac:dyDescent="0.3">
      <c r="A51">
        <v>50</v>
      </c>
      <c r="B51">
        <v>9</v>
      </c>
      <c r="C51">
        <v>3</v>
      </c>
      <c r="D51">
        <v>7</v>
      </c>
      <c r="E51" t="str">
        <f>VLOOKUP(D51,REQ_ROLE!$A$1:$B$10,2,FALSE)</f>
        <v>Procurement Team</v>
      </c>
      <c r="F51">
        <v>1</v>
      </c>
    </row>
    <row r="52" spans="1:6" x14ac:dyDescent="0.3">
      <c r="A52">
        <v>51</v>
      </c>
      <c r="B52">
        <v>9</v>
      </c>
      <c r="C52">
        <v>4</v>
      </c>
      <c r="D52">
        <v>5</v>
      </c>
      <c r="E52" t="str">
        <f>VLOOKUP(D52,REQ_ROLE!$A$1:$B$10,2,FALSE)</f>
        <v>Procurement Committee</v>
      </c>
      <c r="F52">
        <v>0</v>
      </c>
    </row>
    <row r="53" spans="1:6" x14ac:dyDescent="0.3">
      <c r="A53">
        <v>52</v>
      </c>
      <c r="B53">
        <v>9</v>
      </c>
      <c r="C53">
        <v>5</v>
      </c>
      <c r="D53">
        <v>8</v>
      </c>
      <c r="E53" t="str">
        <f>VLOOKUP(D53,REQ_ROLE!$A$1:$B$10,2,FALSE)</f>
        <v>CEO</v>
      </c>
      <c r="F53">
        <v>0</v>
      </c>
    </row>
    <row r="54" spans="1:6" x14ac:dyDescent="0.3">
      <c r="A54">
        <v>53</v>
      </c>
      <c r="B54">
        <v>9</v>
      </c>
      <c r="C54">
        <v>6</v>
      </c>
      <c r="D54">
        <v>7</v>
      </c>
      <c r="E54" t="str">
        <f>VLOOKUP(D54,REQ_ROLE!$A$1:$B$10,2,FALSE)</f>
        <v>Procurement Team</v>
      </c>
      <c r="F54">
        <v>0</v>
      </c>
    </row>
    <row r="55" spans="1:6" x14ac:dyDescent="0.3">
      <c r="A55">
        <v>54</v>
      </c>
      <c r="B55">
        <v>10</v>
      </c>
      <c r="C55">
        <v>1</v>
      </c>
      <c r="D55">
        <v>1</v>
      </c>
      <c r="E55" t="str">
        <f>VLOOKUP(D55,REQ_ROLE!$A$1:$B$10,2,FALSE)</f>
        <v>Employee</v>
      </c>
      <c r="F55">
        <v>1</v>
      </c>
    </row>
    <row r="56" spans="1:6" x14ac:dyDescent="0.3">
      <c r="A56">
        <v>55</v>
      </c>
      <c r="B56">
        <v>10</v>
      </c>
      <c r="C56">
        <v>2</v>
      </c>
      <c r="D56">
        <v>5</v>
      </c>
      <c r="E56" t="str">
        <f>VLOOKUP(D56,REQ_ROLE!$A$1:$B$10,2,FALSE)</f>
        <v>Procurement Committee</v>
      </c>
      <c r="F56">
        <v>1</v>
      </c>
    </row>
    <row r="57" spans="1:6" x14ac:dyDescent="0.3">
      <c r="A57">
        <v>56</v>
      </c>
      <c r="B57">
        <v>10</v>
      </c>
      <c r="C57">
        <v>3</v>
      </c>
      <c r="D57">
        <v>7</v>
      </c>
      <c r="E57" t="str">
        <f>VLOOKUP(D57,REQ_ROLE!$A$1:$B$10,2,FALSE)</f>
        <v>Procurement Team</v>
      </c>
      <c r="F57">
        <v>0</v>
      </c>
    </row>
    <row r="58" spans="1:6" x14ac:dyDescent="0.3">
      <c r="A58">
        <v>57</v>
      </c>
      <c r="B58">
        <v>10</v>
      </c>
      <c r="C58">
        <v>4</v>
      </c>
      <c r="D58">
        <v>5</v>
      </c>
      <c r="E58" t="str">
        <f>VLOOKUP(D58,REQ_ROLE!$A$1:$B$10,2,FALSE)</f>
        <v>Procurement Committee</v>
      </c>
      <c r="F58">
        <v>0</v>
      </c>
    </row>
    <row r="59" spans="1:6" x14ac:dyDescent="0.3">
      <c r="A59">
        <v>58</v>
      </c>
      <c r="B59">
        <v>10</v>
      </c>
      <c r="C59">
        <v>5</v>
      </c>
      <c r="D59">
        <v>8</v>
      </c>
      <c r="E59" t="str">
        <f>VLOOKUP(D59,REQ_ROLE!$A$1:$B$10,2,FALSE)</f>
        <v>CEO</v>
      </c>
      <c r="F59">
        <v>0</v>
      </c>
    </row>
    <row r="60" spans="1:6" x14ac:dyDescent="0.3">
      <c r="A60">
        <v>59</v>
      </c>
      <c r="B60">
        <v>10</v>
      </c>
      <c r="C60">
        <v>6</v>
      </c>
      <c r="D60">
        <v>7</v>
      </c>
      <c r="E60" t="str">
        <f>VLOOKUP(D60,REQ_ROLE!$A$1:$B$10,2,FALSE)</f>
        <v>Procurement Team</v>
      </c>
      <c r="F60">
        <v>0</v>
      </c>
    </row>
    <row r="61" spans="1:6" x14ac:dyDescent="0.3">
      <c r="A61">
        <v>60</v>
      </c>
      <c r="B61">
        <v>11</v>
      </c>
      <c r="C61">
        <v>1</v>
      </c>
      <c r="D61">
        <v>1</v>
      </c>
      <c r="E61" t="str">
        <f>VLOOKUP(D61,REQ_ROLE!$A$1:$B$10,2,FALSE)</f>
        <v>Employee</v>
      </c>
      <c r="F61">
        <v>1</v>
      </c>
    </row>
    <row r="62" spans="1:6" x14ac:dyDescent="0.3">
      <c r="A62">
        <v>61</v>
      </c>
      <c r="B62">
        <v>11</v>
      </c>
      <c r="C62">
        <v>2</v>
      </c>
      <c r="D62">
        <v>5</v>
      </c>
      <c r="E62" t="str">
        <f>VLOOKUP(D62,REQ_ROLE!$A$1:$B$10,2,FALSE)</f>
        <v>Procurement Committee</v>
      </c>
      <c r="F62">
        <v>1</v>
      </c>
    </row>
    <row r="63" spans="1:6" x14ac:dyDescent="0.3">
      <c r="A63">
        <v>62</v>
      </c>
      <c r="B63">
        <v>11</v>
      </c>
      <c r="C63">
        <v>3</v>
      </c>
      <c r="D63">
        <v>7</v>
      </c>
      <c r="E63" t="str">
        <f>VLOOKUP(D63,REQ_ROLE!$A$1:$B$10,2,FALSE)</f>
        <v>Procurement Team</v>
      </c>
      <c r="F63">
        <v>1</v>
      </c>
    </row>
    <row r="64" spans="1:6" x14ac:dyDescent="0.3">
      <c r="A64">
        <v>63</v>
      </c>
      <c r="B64">
        <v>11</v>
      </c>
      <c r="C64">
        <v>4</v>
      </c>
      <c r="D64">
        <v>5</v>
      </c>
      <c r="E64" t="str">
        <f>VLOOKUP(D64,REQ_ROLE!$A$1:$B$10,2,FALSE)</f>
        <v>Procurement Committee</v>
      </c>
      <c r="F64">
        <v>1</v>
      </c>
    </row>
    <row r="65" spans="1:6" x14ac:dyDescent="0.3">
      <c r="A65">
        <v>64</v>
      </c>
      <c r="B65">
        <v>11</v>
      </c>
      <c r="C65">
        <v>5</v>
      </c>
      <c r="D65">
        <v>8</v>
      </c>
      <c r="E65" t="str">
        <f>VLOOKUP(D65,REQ_ROLE!$A$1:$B$10,2,FALSE)</f>
        <v>CEO</v>
      </c>
      <c r="F65">
        <v>1</v>
      </c>
    </row>
    <row r="66" spans="1:6" x14ac:dyDescent="0.3">
      <c r="A66">
        <v>65</v>
      </c>
      <c r="B66">
        <v>11</v>
      </c>
      <c r="C66">
        <v>6</v>
      </c>
      <c r="D66">
        <v>7</v>
      </c>
      <c r="E66" t="str">
        <f>VLOOKUP(D66,REQ_ROLE!$A$1:$B$10,2,FALSE)</f>
        <v>Procurement Team</v>
      </c>
      <c r="F66">
        <v>0</v>
      </c>
    </row>
  </sheetData>
  <autoFilter ref="A1:F66" xr:uid="{FC1ABD41-A2D5-46B8-A16B-A8E9B2D285A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D88C-FFBC-41A1-AAA8-F51D9FFDEFCA}">
  <dimension ref="A1:H33"/>
  <sheetViews>
    <sheetView workbookViewId="0">
      <selection activeCell="A5" sqref="A5:XFD5"/>
    </sheetView>
  </sheetViews>
  <sheetFormatPr defaultRowHeight="14.4" x14ac:dyDescent="0.3"/>
  <cols>
    <col min="1" max="1" width="7.6640625" bestFit="1" customWidth="1"/>
    <col min="2" max="2" width="8" bestFit="1" customWidth="1"/>
    <col min="3" max="3" width="8.44140625" bestFit="1" customWidth="1"/>
    <col min="4" max="4" width="21" bestFit="1" customWidth="1"/>
    <col min="5" max="5" width="10.21875" bestFit="1" customWidth="1"/>
    <col min="6" max="6" width="16.5546875" customWidth="1"/>
    <col min="7" max="7" width="23.6640625" bestFit="1" customWidth="1"/>
    <col min="8" max="8" width="12.109375" style="18" bestFit="1" customWidth="1"/>
  </cols>
  <sheetData>
    <row r="1" spans="1:8" x14ac:dyDescent="0.3">
      <c r="A1" t="s">
        <v>86</v>
      </c>
      <c r="B1" t="s">
        <v>87</v>
      </c>
      <c r="C1" t="s">
        <v>88</v>
      </c>
      <c r="D1" t="s">
        <v>169</v>
      </c>
      <c r="E1" t="s">
        <v>89</v>
      </c>
      <c r="F1" t="s">
        <v>90</v>
      </c>
      <c r="G1" t="s">
        <v>91</v>
      </c>
      <c r="H1" s="18" t="s">
        <v>92</v>
      </c>
    </row>
    <row r="2" spans="1:8" x14ac:dyDescent="0.3">
      <c r="A2">
        <v>1</v>
      </c>
      <c r="B2">
        <v>1</v>
      </c>
      <c r="C2">
        <v>1</v>
      </c>
      <c r="D2" t="str">
        <f>VLOOKUP(C2,REQ_ROLE!$A$1:$B$10,2,FALSE)</f>
        <v>Employee</v>
      </c>
      <c r="E2">
        <v>101</v>
      </c>
      <c r="F2" t="s">
        <v>93</v>
      </c>
      <c r="G2" t="s">
        <v>94</v>
      </c>
      <c r="H2" s="18">
        <v>46011.621837928244</v>
      </c>
    </row>
    <row r="3" spans="1:8" x14ac:dyDescent="0.3">
      <c r="A3">
        <v>2</v>
      </c>
      <c r="B3">
        <v>1</v>
      </c>
      <c r="C3">
        <v>2</v>
      </c>
      <c r="D3" t="str">
        <f>VLOOKUP(C3,REQ_ROLE!$A$1:$B$10,2,FALSE)</f>
        <v>HOD</v>
      </c>
      <c r="E3">
        <v>201</v>
      </c>
      <c r="F3" t="s">
        <v>95</v>
      </c>
      <c r="G3" t="s">
        <v>96</v>
      </c>
      <c r="H3" s="18">
        <v>46011.621837928244</v>
      </c>
    </row>
    <row r="4" spans="1:8" x14ac:dyDescent="0.3">
      <c r="A4">
        <v>3</v>
      </c>
      <c r="B4">
        <v>1</v>
      </c>
      <c r="C4">
        <v>6</v>
      </c>
      <c r="D4" t="str">
        <f>VLOOKUP(C4,REQ_ROLE!$A$1:$B$10,2,FALSE)</f>
        <v>Department Admin</v>
      </c>
      <c r="E4">
        <v>301</v>
      </c>
      <c r="F4" t="s">
        <v>97</v>
      </c>
      <c r="G4" t="s">
        <v>98</v>
      </c>
      <c r="H4" s="18">
        <v>46011.621837928244</v>
      </c>
    </row>
    <row r="5" spans="1:8" x14ac:dyDescent="0.3">
      <c r="A5">
        <v>4</v>
      </c>
      <c r="B5">
        <v>1</v>
      </c>
      <c r="C5">
        <v>9</v>
      </c>
      <c r="D5" t="str">
        <f>VLOOKUP(C5,REQ_ROLE!$A$1:$B$10,2,FALSE)</f>
        <v>Execution Team</v>
      </c>
      <c r="E5">
        <v>401</v>
      </c>
      <c r="F5" t="s">
        <v>99</v>
      </c>
      <c r="G5" t="s">
        <v>100</v>
      </c>
      <c r="H5" s="18">
        <v>46011.621837928244</v>
      </c>
    </row>
    <row r="6" spans="1:8" x14ac:dyDescent="0.3">
      <c r="A6">
        <v>5</v>
      </c>
      <c r="B6">
        <v>2</v>
      </c>
      <c r="C6">
        <v>1</v>
      </c>
      <c r="D6" t="str">
        <f>VLOOKUP(C6,REQ_ROLE!$A$1:$B$10,2,FALSE)</f>
        <v>Employee</v>
      </c>
      <c r="E6">
        <v>102</v>
      </c>
      <c r="F6" t="s">
        <v>93</v>
      </c>
      <c r="G6" t="s">
        <v>101</v>
      </c>
      <c r="H6" s="18">
        <v>46011.621837928244</v>
      </c>
    </row>
    <row r="7" spans="1:8" x14ac:dyDescent="0.3">
      <c r="A7">
        <v>6</v>
      </c>
      <c r="B7">
        <v>2</v>
      </c>
      <c r="C7">
        <v>2</v>
      </c>
      <c r="D7" t="str">
        <f>VLOOKUP(C7,REQ_ROLE!$A$1:$B$10,2,FALSE)</f>
        <v>HOD</v>
      </c>
      <c r="E7">
        <v>202</v>
      </c>
      <c r="F7" t="s">
        <v>95</v>
      </c>
      <c r="G7" t="s">
        <v>96</v>
      </c>
      <c r="H7" s="18">
        <v>46011.621837928244</v>
      </c>
    </row>
    <row r="8" spans="1:8" x14ac:dyDescent="0.3">
      <c r="A8">
        <v>7</v>
      </c>
      <c r="B8">
        <v>2</v>
      </c>
      <c r="C8">
        <v>6</v>
      </c>
      <c r="D8" t="str">
        <f>VLOOKUP(C8,REQ_ROLE!$A$1:$B$10,2,FALSE)</f>
        <v>Department Admin</v>
      </c>
      <c r="E8">
        <v>302</v>
      </c>
      <c r="F8" t="s">
        <v>97</v>
      </c>
      <c r="G8" t="s">
        <v>102</v>
      </c>
      <c r="H8" s="18">
        <v>46011.621837928244</v>
      </c>
    </row>
    <row r="9" spans="1:8" x14ac:dyDescent="0.3">
      <c r="A9">
        <v>8</v>
      </c>
      <c r="B9">
        <v>2</v>
      </c>
      <c r="C9">
        <v>9</v>
      </c>
      <c r="D9" t="str">
        <f>VLOOKUP(C9,REQ_ROLE!$A$1:$B$10,2,FALSE)</f>
        <v>Execution Team</v>
      </c>
      <c r="E9">
        <v>402</v>
      </c>
      <c r="F9" t="s">
        <v>99</v>
      </c>
      <c r="G9" t="s">
        <v>103</v>
      </c>
      <c r="H9" s="18">
        <v>46011.621837928244</v>
      </c>
    </row>
    <row r="10" spans="1:8" x14ac:dyDescent="0.3">
      <c r="A10">
        <v>9</v>
      </c>
      <c r="B10">
        <v>3</v>
      </c>
      <c r="C10">
        <v>1</v>
      </c>
      <c r="D10" t="str">
        <f>VLOOKUP(C10,REQ_ROLE!$A$1:$B$10,2,FALSE)</f>
        <v>Employee</v>
      </c>
      <c r="E10">
        <v>103</v>
      </c>
      <c r="F10" t="s">
        <v>93</v>
      </c>
      <c r="G10" t="s">
        <v>104</v>
      </c>
      <c r="H10" s="18">
        <v>46011.621837928244</v>
      </c>
    </row>
    <row r="11" spans="1:8" x14ac:dyDescent="0.3">
      <c r="A11">
        <v>10</v>
      </c>
      <c r="B11">
        <v>3</v>
      </c>
      <c r="C11">
        <v>2</v>
      </c>
      <c r="D11" t="str">
        <f>VLOOKUP(C11,REQ_ROLE!$A$1:$B$10,2,FALSE)</f>
        <v>HOD</v>
      </c>
      <c r="E11">
        <v>203</v>
      </c>
      <c r="F11" t="s">
        <v>95</v>
      </c>
      <c r="G11" t="s">
        <v>96</v>
      </c>
      <c r="H11" s="18">
        <v>46011.621837928244</v>
      </c>
    </row>
    <row r="12" spans="1:8" x14ac:dyDescent="0.3">
      <c r="A12">
        <v>11</v>
      </c>
      <c r="B12">
        <v>3</v>
      </c>
      <c r="C12">
        <v>5</v>
      </c>
      <c r="D12" t="str">
        <f>VLOOKUP(C12,REQ_ROLE!$A$1:$B$10,2,FALSE)</f>
        <v>Procurement Committee</v>
      </c>
      <c r="E12">
        <v>501</v>
      </c>
      <c r="F12" t="s">
        <v>105</v>
      </c>
      <c r="G12" t="s">
        <v>106</v>
      </c>
      <c r="H12" s="18">
        <v>46011.621837928244</v>
      </c>
    </row>
    <row r="13" spans="1:8" x14ac:dyDescent="0.3">
      <c r="A13">
        <v>12</v>
      </c>
      <c r="B13">
        <v>3</v>
      </c>
      <c r="C13">
        <v>6</v>
      </c>
      <c r="D13" t="str">
        <f>VLOOKUP(C13,REQ_ROLE!$A$1:$B$10,2,FALSE)</f>
        <v>Department Admin</v>
      </c>
      <c r="E13">
        <v>303</v>
      </c>
      <c r="F13" t="s">
        <v>97</v>
      </c>
      <c r="G13" t="s">
        <v>107</v>
      </c>
      <c r="H13" s="18">
        <v>46011.621837928244</v>
      </c>
    </row>
    <row r="14" spans="1:8" x14ac:dyDescent="0.3">
      <c r="A14">
        <v>13</v>
      </c>
      <c r="B14">
        <v>3</v>
      </c>
      <c r="C14">
        <v>7</v>
      </c>
      <c r="D14" t="str">
        <f>VLOOKUP(C14,REQ_ROLE!$A$1:$B$10,2,FALSE)</f>
        <v>Procurement Team</v>
      </c>
      <c r="E14">
        <v>601</v>
      </c>
      <c r="F14" t="s">
        <v>108</v>
      </c>
      <c r="G14" t="s">
        <v>109</v>
      </c>
      <c r="H14" s="18">
        <v>46011.621837928244</v>
      </c>
    </row>
    <row r="15" spans="1:8" x14ac:dyDescent="0.3">
      <c r="A15">
        <v>14</v>
      </c>
      <c r="B15">
        <v>3</v>
      </c>
      <c r="C15">
        <v>5</v>
      </c>
      <c r="D15" t="str">
        <f>VLOOKUP(C15,REQ_ROLE!$A$1:$B$10,2,FALSE)</f>
        <v>Procurement Committee</v>
      </c>
      <c r="E15">
        <v>502</v>
      </c>
      <c r="F15" t="s">
        <v>105</v>
      </c>
      <c r="G15" t="s">
        <v>110</v>
      </c>
      <c r="H15" s="18">
        <v>46011.621837928244</v>
      </c>
    </row>
    <row r="16" spans="1:8" x14ac:dyDescent="0.3">
      <c r="A16">
        <v>15</v>
      </c>
      <c r="B16">
        <v>5</v>
      </c>
      <c r="C16">
        <v>1</v>
      </c>
      <c r="D16" t="str">
        <f>VLOOKUP(C16,REQ_ROLE!$A$1:$B$10,2,FALSE)</f>
        <v>Employee</v>
      </c>
      <c r="E16">
        <v>105</v>
      </c>
      <c r="F16" t="s">
        <v>93</v>
      </c>
      <c r="G16" t="s">
        <v>111</v>
      </c>
      <c r="H16" s="18">
        <v>46011.621837928244</v>
      </c>
    </row>
    <row r="17" spans="1:8" x14ac:dyDescent="0.3">
      <c r="A17">
        <v>16</v>
      </c>
      <c r="B17">
        <v>5</v>
      </c>
      <c r="C17">
        <v>2</v>
      </c>
      <c r="D17" t="str">
        <f>VLOOKUP(C17,REQ_ROLE!$A$1:$B$10,2,FALSE)</f>
        <v>HOD</v>
      </c>
      <c r="E17">
        <v>205</v>
      </c>
      <c r="F17" t="s">
        <v>112</v>
      </c>
      <c r="G17" t="s">
        <v>113</v>
      </c>
      <c r="H17" s="18">
        <v>46011.621837928244</v>
      </c>
    </row>
    <row r="18" spans="1:8" x14ac:dyDescent="0.3">
      <c r="A18">
        <v>17</v>
      </c>
      <c r="B18">
        <v>5</v>
      </c>
      <c r="C18">
        <v>3</v>
      </c>
      <c r="D18" t="str">
        <f>VLOOKUP(C18,REQ_ROLE!$A$1:$B$10,2,FALSE)</f>
        <v>HR</v>
      </c>
      <c r="E18">
        <v>305</v>
      </c>
      <c r="F18" t="s">
        <v>112</v>
      </c>
      <c r="G18" t="s">
        <v>114</v>
      </c>
      <c r="H18" s="18">
        <v>46011.621837928244</v>
      </c>
    </row>
    <row r="19" spans="1:8" x14ac:dyDescent="0.3">
      <c r="A19">
        <v>18</v>
      </c>
      <c r="B19">
        <v>6</v>
      </c>
      <c r="C19">
        <v>1</v>
      </c>
      <c r="D19" t="str">
        <f>VLOOKUP(C19,REQ_ROLE!$A$1:$B$10,2,FALSE)</f>
        <v>Employee</v>
      </c>
      <c r="E19">
        <v>106</v>
      </c>
      <c r="F19" t="s">
        <v>93</v>
      </c>
      <c r="G19" t="s">
        <v>115</v>
      </c>
      <c r="H19" s="18">
        <v>46011.621837928244</v>
      </c>
    </row>
    <row r="20" spans="1:8" x14ac:dyDescent="0.3">
      <c r="A20">
        <v>19</v>
      </c>
      <c r="B20">
        <v>6</v>
      </c>
      <c r="C20">
        <v>2</v>
      </c>
      <c r="D20" t="str">
        <f>VLOOKUP(C20,REQ_ROLE!$A$1:$B$10,2,FALSE)</f>
        <v>HOD</v>
      </c>
      <c r="E20">
        <v>206</v>
      </c>
      <c r="F20" t="s">
        <v>112</v>
      </c>
      <c r="G20" t="s">
        <v>113</v>
      </c>
      <c r="H20" s="18">
        <v>46011.621837928244</v>
      </c>
    </row>
    <row r="21" spans="1:8" x14ac:dyDescent="0.3">
      <c r="A21">
        <v>20</v>
      </c>
      <c r="B21">
        <v>6</v>
      </c>
      <c r="C21">
        <v>3</v>
      </c>
      <c r="D21" t="str">
        <f>VLOOKUP(C21,REQ_ROLE!$A$1:$B$10,2,FALSE)</f>
        <v>HR</v>
      </c>
      <c r="E21">
        <v>306</v>
      </c>
      <c r="F21" t="s">
        <v>112</v>
      </c>
      <c r="G21" t="s">
        <v>114</v>
      </c>
      <c r="H21" s="18">
        <v>46011.621837928244</v>
      </c>
    </row>
    <row r="22" spans="1:8" x14ac:dyDescent="0.3">
      <c r="A22">
        <v>21</v>
      </c>
      <c r="B22">
        <v>6</v>
      </c>
      <c r="C22">
        <v>4</v>
      </c>
      <c r="D22" t="str">
        <f>VLOOKUP(C22,REQ_ROLE!$A$1:$B$10,2,FALSE)</f>
        <v>Finance</v>
      </c>
      <c r="E22">
        <v>406</v>
      </c>
      <c r="F22" t="s">
        <v>112</v>
      </c>
      <c r="G22" t="s">
        <v>116</v>
      </c>
      <c r="H22" s="18">
        <v>46011.621837928244</v>
      </c>
    </row>
    <row r="23" spans="1:8" x14ac:dyDescent="0.3">
      <c r="A23">
        <v>22</v>
      </c>
      <c r="B23">
        <v>7</v>
      </c>
      <c r="C23">
        <v>1</v>
      </c>
      <c r="D23" t="str">
        <f>VLOOKUP(C23,REQ_ROLE!$A$1:$B$10,2,FALSE)</f>
        <v>Employee</v>
      </c>
      <c r="E23">
        <v>107</v>
      </c>
      <c r="F23" t="s">
        <v>93</v>
      </c>
      <c r="G23" t="s">
        <v>117</v>
      </c>
      <c r="H23" s="18">
        <v>46011.621837928244</v>
      </c>
    </row>
    <row r="24" spans="1:8" x14ac:dyDescent="0.3">
      <c r="A24">
        <v>23</v>
      </c>
      <c r="B24">
        <v>7</v>
      </c>
      <c r="C24">
        <v>2</v>
      </c>
      <c r="D24" t="str">
        <f>VLOOKUP(C24,REQ_ROLE!$A$1:$B$10,2,FALSE)</f>
        <v>HOD</v>
      </c>
      <c r="E24">
        <v>207</v>
      </c>
      <c r="F24" t="s">
        <v>112</v>
      </c>
      <c r="G24" t="s">
        <v>113</v>
      </c>
      <c r="H24" s="18">
        <v>46011.621837928244</v>
      </c>
    </row>
    <row r="25" spans="1:8" x14ac:dyDescent="0.3">
      <c r="A25">
        <v>24</v>
      </c>
      <c r="B25">
        <v>7</v>
      </c>
      <c r="C25">
        <v>7</v>
      </c>
      <c r="D25" t="str">
        <f>VLOOKUP(C25,REQ_ROLE!$A$1:$B$10,2,FALSE)</f>
        <v>Procurement Team</v>
      </c>
      <c r="E25">
        <v>607</v>
      </c>
      <c r="F25" t="s">
        <v>108</v>
      </c>
      <c r="G25" t="s">
        <v>118</v>
      </c>
      <c r="H25" s="18">
        <v>46011.621837928244</v>
      </c>
    </row>
    <row r="26" spans="1:8" x14ac:dyDescent="0.3">
      <c r="A26">
        <v>25</v>
      </c>
      <c r="B26">
        <v>9</v>
      </c>
      <c r="C26">
        <v>1</v>
      </c>
      <c r="D26" t="str">
        <f>VLOOKUP(C26,REQ_ROLE!$A$1:$B$10,2,FALSE)</f>
        <v>Employee</v>
      </c>
      <c r="E26">
        <v>109</v>
      </c>
      <c r="F26" t="s">
        <v>93</v>
      </c>
      <c r="G26" t="s">
        <v>119</v>
      </c>
      <c r="H26" s="18">
        <v>46011.621837928244</v>
      </c>
    </row>
    <row r="27" spans="1:8" x14ac:dyDescent="0.3">
      <c r="A27">
        <v>26</v>
      </c>
      <c r="B27">
        <v>9</v>
      </c>
      <c r="C27">
        <v>5</v>
      </c>
      <c r="D27" t="str">
        <f>VLOOKUP(C27,REQ_ROLE!$A$1:$B$10,2,FALSE)</f>
        <v>Procurement Committee</v>
      </c>
      <c r="E27">
        <v>505</v>
      </c>
      <c r="F27" t="s">
        <v>105</v>
      </c>
      <c r="G27" t="s">
        <v>120</v>
      </c>
      <c r="H27" s="18">
        <v>46011.621837928244</v>
      </c>
    </row>
    <row r="28" spans="1:8" x14ac:dyDescent="0.3">
      <c r="A28">
        <v>27</v>
      </c>
      <c r="B28">
        <v>9</v>
      </c>
      <c r="C28">
        <v>7</v>
      </c>
      <c r="D28" t="str">
        <f>VLOOKUP(C28,REQ_ROLE!$A$1:$B$10,2,FALSE)</f>
        <v>Procurement Team</v>
      </c>
      <c r="E28">
        <v>607</v>
      </c>
      <c r="F28" t="s">
        <v>108</v>
      </c>
      <c r="G28" t="s">
        <v>121</v>
      </c>
      <c r="H28" s="18">
        <v>46011.621837928244</v>
      </c>
    </row>
    <row r="29" spans="1:8" x14ac:dyDescent="0.3">
      <c r="A29">
        <v>28</v>
      </c>
      <c r="B29">
        <v>10</v>
      </c>
      <c r="C29">
        <v>1</v>
      </c>
      <c r="D29" t="str">
        <f>VLOOKUP(C29,REQ_ROLE!$A$1:$B$10,2,FALSE)</f>
        <v>Employee</v>
      </c>
      <c r="E29">
        <v>110</v>
      </c>
      <c r="F29" t="s">
        <v>93</v>
      </c>
      <c r="G29" t="s">
        <v>122</v>
      </c>
      <c r="H29" s="18">
        <v>46011.621837928244</v>
      </c>
    </row>
    <row r="30" spans="1:8" x14ac:dyDescent="0.3">
      <c r="A30">
        <v>29</v>
      </c>
      <c r="B30">
        <v>10</v>
      </c>
      <c r="C30">
        <v>5</v>
      </c>
      <c r="D30" t="str">
        <f>VLOOKUP(C30,REQ_ROLE!$A$1:$B$10,2,FALSE)</f>
        <v>Procurement Committee</v>
      </c>
      <c r="E30">
        <v>506</v>
      </c>
      <c r="F30" t="s">
        <v>105</v>
      </c>
      <c r="G30" t="s">
        <v>123</v>
      </c>
      <c r="H30" s="18">
        <v>46011.621837928244</v>
      </c>
    </row>
    <row r="31" spans="1:8" x14ac:dyDescent="0.3">
      <c r="A31">
        <v>30</v>
      </c>
      <c r="B31">
        <v>11</v>
      </c>
      <c r="C31">
        <v>1</v>
      </c>
      <c r="D31" t="str">
        <f>VLOOKUP(C31,REQ_ROLE!$A$1:$B$10,2,FALSE)</f>
        <v>Employee</v>
      </c>
      <c r="E31">
        <v>111</v>
      </c>
      <c r="F31" t="s">
        <v>93</v>
      </c>
      <c r="G31" t="s">
        <v>124</v>
      </c>
      <c r="H31" s="18">
        <v>46011.621837928244</v>
      </c>
    </row>
    <row r="32" spans="1:8" x14ac:dyDescent="0.3">
      <c r="A32">
        <v>31</v>
      </c>
      <c r="B32">
        <v>11</v>
      </c>
      <c r="C32">
        <v>5</v>
      </c>
      <c r="D32" t="str">
        <f>VLOOKUP(C32,REQ_ROLE!$A$1:$B$10,2,FALSE)</f>
        <v>Procurement Committee</v>
      </c>
      <c r="E32">
        <v>507</v>
      </c>
      <c r="F32" t="s">
        <v>105</v>
      </c>
      <c r="G32" t="s">
        <v>125</v>
      </c>
      <c r="H32" s="18">
        <v>46011.621837928244</v>
      </c>
    </row>
    <row r="33" spans="1:8" x14ac:dyDescent="0.3">
      <c r="A33">
        <v>32</v>
      </c>
      <c r="B33">
        <v>11</v>
      </c>
      <c r="C33">
        <v>8</v>
      </c>
      <c r="D33" t="str">
        <f>VLOOKUP(C33,REQ_ROLE!$A$1:$B$10,2,FALSE)</f>
        <v>CEO</v>
      </c>
      <c r="E33">
        <v>801</v>
      </c>
      <c r="F33" t="s">
        <v>112</v>
      </c>
      <c r="G33" t="s">
        <v>126</v>
      </c>
      <c r="H33" s="18">
        <v>46011.621837928244</v>
      </c>
    </row>
  </sheetData>
  <autoFilter ref="A1:H33" xr:uid="{D47FD88C-FFBC-41A1-AAA8-F51D9FFDEF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Hierarchy</vt:lpstr>
      <vt:lpstr>SOP</vt:lpstr>
      <vt:lpstr>REQ_CATEGORY</vt:lpstr>
      <vt:lpstr>Stationary</vt:lpstr>
      <vt:lpstr>IT Equipments</vt:lpstr>
      <vt:lpstr>Generl PurchaseGrocery</vt:lpstr>
      <vt:lpstr>Generl Purchase Appliances</vt:lpstr>
      <vt:lpstr>REQ_ROLE</vt:lpstr>
      <vt:lpstr>REQ_WORKFLOW</vt:lpstr>
      <vt:lpstr>EMP_REQUISITION</vt:lpstr>
      <vt:lpstr>EMP_REQ_FLOW</vt:lpstr>
      <vt:lpstr>REQ_ACTION_LOG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Essani</dc:creator>
  <cp:lastModifiedBy>Kamran Jamal/KHI/TDD</cp:lastModifiedBy>
  <dcterms:created xsi:type="dcterms:W3CDTF">2025-12-16T22:19:12Z</dcterms:created>
  <dcterms:modified xsi:type="dcterms:W3CDTF">2025-12-24T10:06:39Z</dcterms:modified>
</cp:coreProperties>
</file>